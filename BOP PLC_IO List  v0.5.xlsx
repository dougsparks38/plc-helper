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ne.sharepoint.com/sites/hub-es/Project Files/183 Hartman/261183-001 Hartman KC Dairy SCADA/3 - Design/BOP/"/>
    </mc:Choice>
  </mc:AlternateContent>
  <xr:revisionPtr revIDLastSave="1824" documentId="8_{BA73F77E-EC54-4924-8414-86B2FB34B720}" xr6:coauthVersionLast="47" xr6:coauthVersionMax="47" xr10:uidLastSave="{DAE75AE0-CCDC-4576-8997-7FD4E99FE527}"/>
  <bookViews>
    <workbookView xWindow="-120" yWindow="-120" windowWidth="29040" windowHeight="15720" xr2:uid="{4D8044E8-99D4-44EA-8842-F78D88BE3CEE}"/>
  </bookViews>
  <sheets>
    <sheet name="BOP-PLC-CP" sheetId="5" r:id="rId1"/>
    <sheet name="LGN-PLC-CP" sheetId="6" r:id="rId2"/>
    <sheet name="KCG-RIO-CP" sheetId="7" r:id="rId3"/>
    <sheet name="IO COUNTS" sheetId="3" r:id="rId4"/>
    <sheet name="NOTES &amp; COMMENTS" sheetId="8" r:id="rId5"/>
  </sheets>
  <definedNames>
    <definedName name="_xlnm._FilterDatabase" localSheetId="0" hidden="1">'BOP-PLC-CP'!$A$2:$K$59</definedName>
    <definedName name="_xlnm._FilterDatabase" localSheetId="3" hidden="1">'IO COUNTS'!$A$1:$E$16</definedName>
    <definedName name="_xlnm._FilterDatabase" localSheetId="2" hidden="1">'KCG-RIO-CP'!$A$2:$K$14</definedName>
    <definedName name="_xlnm._FilterDatabase" localSheetId="1" hidden="1">'LGN-PLC-CP'!$A$2:$K$74</definedName>
    <definedName name="_xlnm._FilterDatabase" localSheetId="4" hidden="1">'NOTES &amp; COMMENTS'!$A$1:$C$1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D6" i="3"/>
  <c r="C6" i="3"/>
  <c r="D5" i="3"/>
  <c r="C5" i="3"/>
  <c r="D4" i="3"/>
  <c r="C4" i="3"/>
  <c r="D3" i="3"/>
  <c r="C3" i="3"/>
  <c r="D2" i="3"/>
  <c r="C2" i="3"/>
  <c r="C13" i="3"/>
  <c r="D13" i="3"/>
  <c r="C14" i="3"/>
  <c r="D14" i="3"/>
  <c r="C15" i="3"/>
  <c r="D15" i="3"/>
  <c r="C16" i="3"/>
  <c r="D16" i="3"/>
  <c r="D12" i="3"/>
  <c r="C12" i="3"/>
  <c r="C8" i="3"/>
  <c r="D8" i="3"/>
  <c r="C9" i="3"/>
  <c r="D9" i="3"/>
  <c r="C10" i="3"/>
  <c r="D10" i="3"/>
  <c r="C11" i="3"/>
  <c r="D11" i="3"/>
  <c r="D7" i="3"/>
  <c r="E14" i="3" l="1"/>
  <c r="E8" i="3"/>
  <c r="E4" i="3"/>
  <c r="E16" i="3"/>
  <c r="E6" i="3"/>
  <c r="E12" i="3"/>
  <c r="E3" i="3"/>
  <c r="E10" i="3"/>
  <c r="E9" i="3"/>
  <c r="E15" i="3"/>
  <c r="E7" i="3"/>
  <c r="E13" i="3"/>
  <c r="E5" i="3"/>
  <c r="E11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tc={FD3CD99A-1263-456D-B147-B7BD017F71D0}</author>
    <author>tc={F69DA7D7-C167-4719-9FA7-55E3E18585A4}</author>
    <author>tc={CFC25A61-C770-47F8-8283-62024CE23D6B}</author>
    <author>tc={360CCE61-8225-4B52-BC58-E3DBFBD53087}</author>
  </authors>
  <commentList>
    <comment ref="G11" authorId="0" shapeId="0" xr:uid="{FD3CD99A-1263-456D-B147-B7BD017F71D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Typically an open/close valve isnt going to have analog position feedback… it is available but usually its just ZSO/ZSC</t>
      </text>
    </comment>
    <comment ref="G17" authorId="1" shapeId="0" xr:uid="{F69DA7D7-C167-4719-9FA7-55E3E18585A4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Typically an open/close valve isnt going to have analog position feedback… it is available but usually its just ZSO/ZSC</t>
      </text>
    </comment>
    <comment ref="G20" authorId="2" shapeId="0" xr:uid="{CFC25A61-C770-47F8-8283-62024CE23D6B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Typically an open/close valve isnt going to have analog position feedback… it is available but usually its just ZSO/ZSC</t>
      </text>
    </comment>
    <comment ref="G23" authorId="3" shapeId="0" xr:uid="{360CCE61-8225-4B52-BC58-E3DBFBD53087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Typically an open/close valve isnt going to have analog position feedback… it is available but usually its just ZSO/ZSC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tc={46157488-EBE9-4C36-9E61-AF06505CB795}</author>
  </authors>
  <commentList>
    <comment ref="G6" authorId="0" shapeId="0" xr:uid="{46157488-EBE9-4C36-9E61-AF06505CB795}">
      <text>
        <t>[Threaded comment]
Your version of Excel allows you to read this threaded comment; however, any edits to it will get removed if the file is opened in a newer version of Excel. Learn more: https://go.microsoft.com/fwlink/?linkid=870924
Comment:
    Typically an open/close valve isnt going to have analog position feedback… it is available but usually its just ZSO/ZSC</t>
      </text>
    </comment>
  </commentList>
</comments>
</file>

<file path=xl/sharedStrings.xml><?xml version="1.0" encoding="utf-8"?>
<sst xmlns="http://schemas.openxmlformats.org/spreadsheetml/2006/main" count="1367" uniqueCount="537">
  <si>
    <t>EQUIPMENT</t>
  </si>
  <si>
    <t>TAGS</t>
  </si>
  <si>
    <t>I/O MODULES</t>
  </si>
  <si>
    <t>EQUIPMENT ID</t>
  </si>
  <si>
    <t>EQUIPMENT TYPE</t>
  </si>
  <si>
    <t>EQUIPMENT DESCRIPTION</t>
  </si>
  <si>
    <t>CLASSIFIED ENVIRONMENT</t>
  </si>
  <si>
    <t>TAG NAME</t>
  </si>
  <si>
    <t>TAG DESCRIPTION</t>
  </si>
  <si>
    <t>SIGNAL TYPE</t>
  </si>
  <si>
    <t>ALARMS</t>
  </si>
  <si>
    <t xml:space="preserve">MODULE SLOT # </t>
  </si>
  <si>
    <t>CHANNEL</t>
  </si>
  <si>
    <t>DETAILS (to be deleted)</t>
  </si>
  <si>
    <t xml:space="preserve">BL-1 </t>
  </si>
  <si>
    <t>BLOWER</t>
  </si>
  <si>
    <t>DIG BLWR</t>
  </si>
  <si>
    <t>NO</t>
  </si>
  <si>
    <t>BL_1.RUN_CMD</t>
  </si>
  <si>
    <t>DIG BLWR RUN COMMAND</t>
  </si>
  <si>
    <t>DO</t>
  </si>
  <si>
    <t>ON LINE BETWEEN DMT ZONE AND FLARE</t>
  </si>
  <si>
    <t>BL_1.SPD_CMD</t>
  </si>
  <si>
    <t>DIG BLWR SPEED RAW COMMAND</t>
  </si>
  <si>
    <t>AO</t>
  </si>
  <si>
    <t>BL_1.RUN_ST</t>
  </si>
  <si>
    <t>DIG BLWR RUNNING STATUS</t>
  </si>
  <si>
    <t>DI</t>
  </si>
  <si>
    <t>FTS</t>
  </si>
  <si>
    <t>BL_1.FLT_ST</t>
  </si>
  <si>
    <t>DIG BLWR FAULT STATUS</t>
  </si>
  <si>
    <t>FLT</t>
  </si>
  <si>
    <t>BL_1.MAN_ST</t>
  </si>
  <si>
    <t>DIG BLWR AUTO/MANUAL STATUS</t>
  </si>
  <si>
    <r>
      <rPr>
        <strike/>
        <sz val="12"/>
        <rFont val="Arial"/>
        <family val="2"/>
      </rPr>
      <t xml:space="preserve">CHANGE FROM TO CLEAR FAULT COMMAND? OR REMOVE ?
</t>
    </r>
    <r>
      <rPr>
        <sz val="12"/>
        <rFont val="Arial"/>
        <family val="2"/>
      </rPr>
      <t>OPERATION STATUS, FALSE = MANUAL, TRUE = AUTO</t>
    </r>
  </si>
  <si>
    <t>BL_1.SPD_FBK</t>
  </si>
  <si>
    <t>DIG BLWR SPEED FEEDBACK</t>
  </si>
  <si>
    <t>HART - P</t>
  </si>
  <si>
    <t>SPD-MIS</t>
  </si>
  <si>
    <t>4 WIRE SELF POWERED XMTR? 
NEED TO CONFIRM OUTPUT TYPE</t>
  </si>
  <si>
    <t>CV1001</t>
  </si>
  <si>
    <t>CONTROL VALVE (FV)</t>
  </si>
  <si>
    <t>FLARE CONTROL VALVE</t>
  </si>
  <si>
    <t>YES</t>
  </si>
  <si>
    <t>CV_1001.POS_CMD</t>
  </si>
  <si>
    <t>FLARE CONTROL VALVE POSITION RAW COMMAND</t>
  </si>
  <si>
    <t>ON LINE FROM DMT ZONE (H2S MEDIA) TO FLARE</t>
  </si>
  <si>
    <t>CV_1001.POS_OP</t>
  </si>
  <si>
    <t>FLARE CONTROL VALVE IN OPEN POSITION</t>
  </si>
  <si>
    <t>FTO</t>
  </si>
  <si>
    <t>CV_1001.POS_CL</t>
  </si>
  <si>
    <t>FLARE CONTROL VALVE IN CLOSED POSITION</t>
  </si>
  <si>
    <t>FTC</t>
  </si>
  <si>
    <t>CV3001</t>
  </si>
  <si>
    <t>DIG BLWR CONTROL VALVE</t>
  </si>
  <si>
    <t>CV_3001.POS_CMD</t>
  </si>
  <si>
    <t>CONTROL VALVE POSITION RAW COMMAND</t>
  </si>
  <si>
    <t>update description</t>
  </si>
  <si>
    <t>CV_3001.POS_OP</t>
  </si>
  <si>
    <t>DIG BLWR CONTROL VALVE IS IN OPEN POSITION</t>
  </si>
  <si>
    <t>CV_3001.POS_CL</t>
  </si>
  <si>
    <t>DIG BLWR CONTROL VALVE IS IN CLOSED POSITION</t>
  </si>
  <si>
    <t>CV3002</t>
  </si>
  <si>
    <t>PROCESS FEED CONTROL VALVE</t>
  </si>
  <si>
    <t>CV_3002.POS_CMD</t>
  </si>
  <si>
    <t>PROCESS FEED CONTROL VALVE POSITION RAW COMMAND</t>
  </si>
  <si>
    <t>ON LINE FROM DVO TO DMT BLOWER</t>
  </si>
  <si>
    <t>CV_3002.POS_OP</t>
  </si>
  <si>
    <t>PROCESS FEED CONTROL VALVE IS IN OPEN POSITION</t>
  </si>
  <si>
    <t>CV_3002.POS_CL</t>
  </si>
  <si>
    <t>PROCESS FEED CONTROL VALVE IS IN CLOSED POSITION</t>
  </si>
  <si>
    <t>CV3003</t>
  </si>
  <si>
    <t>PROCESS BIO FLARE CONTROL VALVE</t>
  </si>
  <si>
    <t>CV_3003.POS_CMD</t>
  </si>
  <si>
    <t>PROCESS BIO FLARE CONTROL VALVE POSITION RAW COMMAND</t>
  </si>
  <si>
    <t>CV_3003.POS_OP</t>
  </si>
  <si>
    <t>PROCESS BIO FLARE CONTROL VALVE IN OPEN POSITION</t>
  </si>
  <si>
    <t>CV_3003.POS_CL</t>
  </si>
  <si>
    <t>PROCESS BIO FLARE CONTROL VALVE  IN CLOSED POSITION</t>
  </si>
  <si>
    <t>CV3005</t>
  </si>
  <si>
    <t>LAG RNG/BIO CONTROL VALVE</t>
  </si>
  <si>
    <t>CV_3005.POS_CMD</t>
  </si>
  <si>
    <t>LAG RNG/BIO CONTROL VALVE POSITION RAW COMMAND</t>
  </si>
  <si>
    <t>ON LINE FROM DMT ZONE (REJECT GAS) TO LAGOON WSP3</t>
  </si>
  <si>
    <t>CV_3005.POS_OP</t>
  </si>
  <si>
    <t>LAG RNG/BIO CONTROL VALVE IN OPEN POSITION</t>
  </si>
  <si>
    <t>CV_3005.POS_CL</t>
  </si>
  <si>
    <t>LAG RNG/BIO CONTROL VALVE IN CLOSED POSITION</t>
  </si>
  <si>
    <t>CV3007</t>
  </si>
  <si>
    <t>LAG TO H2S MEDIA CONTROL VALVE</t>
  </si>
  <si>
    <t>CV_3007.POS_CMD</t>
  </si>
  <si>
    <t>POSITION RAW COMMAND</t>
  </si>
  <si>
    <t>UPDATE DESCRIPTION</t>
  </si>
  <si>
    <t>CV_3007.POS_OP</t>
  </si>
  <si>
    <t>CONTROL VALVE IN OPEN POSITION</t>
  </si>
  <si>
    <t>CV_3007.POS_CL</t>
  </si>
  <si>
    <t>CONTROL VALVE IN CLOSED POSITION</t>
  </si>
  <si>
    <t>CV3008</t>
  </si>
  <si>
    <t>DIG TO H2S MEDIA CONTROL VALVE</t>
  </si>
  <si>
    <t>CV_3008.POS_CMD</t>
  </si>
  <si>
    <t>CV_3008.POS_OP</t>
  </si>
  <si>
    <t>CV_3008.POS_CL</t>
  </si>
  <si>
    <t>CV3009</t>
  </si>
  <si>
    <t>DIG TO LAG CONTROL VALVE</t>
  </si>
  <si>
    <t>CV_3009.POS_CMD</t>
  </si>
  <si>
    <t>CV_3009.POS_OP</t>
  </si>
  <si>
    <t>CV_3009.POS_CL</t>
  </si>
  <si>
    <t>FIT3001</t>
  </si>
  <si>
    <t>FLOW TRANSMITTER</t>
  </si>
  <si>
    <t>O2 RCVR TANK FLOW</t>
  </si>
  <si>
    <t>FIT_3001.F_RS</t>
  </si>
  <si>
    <t xml:space="preserve">O2 RCVR TANK FLOW RATE RAW </t>
  </si>
  <si>
    <t>AI</t>
  </si>
  <si>
    <t>LL = X
  L = X
  H = X
HH = X</t>
  </si>
  <si>
    <t>E&amp;H Prosonic G500
PASSIVE OUTPUT, 2 WIRE LOOP POWERED XMTR</t>
  </si>
  <si>
    <t>FIT3002</t>
  </si>
  <si>
    <t>LAG BIO FLOW</t>
  </si>
  <si>
    <t>FIT_3002.F_RS</t>
  </si>
  <si>
    <t xml:space="preserve">LAG BIO FLOW RATE RAW </t>
  </si>
  <si>
    <t>FIT3003</t>
  </si>
  <si>
    <t>PROCESS BIO FLOW</t>
  </si>
  <si>
    <t>FIT_3003.F_RS</t>
  </si>
  <si>
    <t xml:space="preserve">PROCESS BIO FLOW RATE RAW </t>
  </si>
  <si>
    <t>FIT3004</t>
  </si>
  <si>
    <t>RNG REJECT FLOW</t>
  </si>
  <si>
    <t>FIT_3004.F_RS</t>
  </si>
  <si>
    <t xml:space="preserve">RNG REJECT FLOW RATE RAW </t>
  </si>
  <si>
    <t>E&amp;H Prosonic B200
PASSIVE OUTPUT, 2 WIRE LOOP POWERED XMTR</t>
  </si>
  <si>
    <t>FIT3005</t>
  </si>
  <si>
    <t>LAG RNG/BIO FLOW</t>
  </si>
  <si>
    <t>FIT_3005.F_RS</t>
  </si>
  <si>
    <t xml:space="preserve">LAG RNG/BIO FLOW RATE RAW </t>
  </si>
  <si>
    <t>E&amp;H Prosonic G500 OR B200
PASSIVE OUTPUT, 2 WIRE LOOP POWERED XMTR</t>
  </si>
  <si>
    <t>FIT3008</t>
  </si>
  <si>
    <t>DMT VENT TO ATMOSPHERE FLOW</t>
  </si>
  <si>
    <t>FIT_3008.F_RS</t>
  </si>
  <si>
    <t xml:space="preserve">DMT VENT TO ATMOSPHERE FLOW RATE RAW </t>
  </si>
  <si>
    <t>FLARECP</t>
  </si>
  <si>
    <t>FLARE CONTROL PANEL</t>
  </si>
  <si>
    <t>FULLY ENCLOSED BIOGAS FLARE (FEF) CONTROL SYSTEM</t>
  </si>
  <si>
    <t>FLR_CP.SYS_ALM</t>
  </si>
  <si>
    <t>FLARE CONTROL SYSTEM ALARM</t>
  </si>
  <si>
    <t>ADDED FROM FEF CONTROL SYSTEM DWGs</t>
  </si>
  <si>
    <t>FLR_CP.RUN_ST</t>
  </si>
  <si>
    <t>FLARE CONTROL SYSTEM RUNNING STATUS</t>
  </si>
  <si>
    <t>FLR_CP.STRT_CMD</t>
  </si>
  <si>
    <t>FLARE CONTROL SYSTEM START SIGNAL</t>
  </si>
  <si>
    <t>FLR_CP.INT_STP</t>
  </si>
  <si>
    <t>FLARE CONTROL SYSTEM INTERLOCK STOP SIGNAL</t>
  </si>
  <si>
    <t>GC3001</t>
  </si>
  <si>
    <t>GAS CHROMATOGRAPH
E&amp;H Prosonic G500</t>
  </si>
  <si>
    <t>O2 RCVR TANK GAS</t>
  </si>
  <si>
    <t>GC_3001.CH4_RS</t>
  </si>
  <si>
    <t xml:space="preserve">O2 RCVR TANK GAS CH4 RAW </t>
  </si>
  <si>
    <t>DVOBIO GC (CH4, CO2)
DVO DIGESTER OUTLET
PASSIVE OUTPUT, 2 WIRE LOOP POWERED XMTR</t>
  </si>
  <si>
    <t>GC_3001.CO2_RS</t>
  </si>
  <si>
    <t xml:space="preserve">O2 RCVR TANK GAS CO2 RAW </t>
  </si>
  <si>
    <t>HART - S</t>
  </si>
  <si>
    <t>DVOBIO GC (CH4, CO2)
DVO DIGESTER OUTLET</t>
  </si>
  <si>
    <t>GC3002</t>
  </si>
  <si>
    <t>GAS CHROMATOGRAPH</t>
  </si>
  <si>
    <t>LAG BIO GAS</t>
  </si>
  <si>
    <t>GC_3002.CH4_RS</t>
  </si>
  <si>
    <t xml:space="preserve">LAG BIO GAS CH4 RAW </t>
  </si>
  <si>
    <r>
      <t xml:space="preserve">LBIO GC (CH4, CO2, O2, N2)
</t>
    </r>
    <r>
      <rPr>
        <strike/>
        <sz val="12"/>
        <color theme="1"/>
        <rFont val="Arial"/>
        <family val="2"/>
      </rPr>
      <t>LAGOON OUTLET</t>
    </r>
    <r>
      <rPr>
        <sz val="12"/>
        <color theme="1"/>
        <rFont val="Arial"/>
        <family val="2"/>
      </rPr>
      <t xml:space="preserve">
PASSIVE OUTPUT, 2 WIRE LOOP POWERED XMTR</t>
    </r>
  </si>
  <si>
    <t>GC_3002.CO2_RS</t>
  </si>
  <si>
    <t xml:space="preserve">LAG BIO GAS CO2 RAW </t>
  </si>
  <si>
    <t>LBIO GC (CH4, CO2, O2, N2)
LAGOON OUTLET</t>
  </si>
  <si>
    <t>GC_3002.N2_RS</t>
  </si>
  <si>
    <t xml:space="preserve">LAG BIO GAS N2 RAW </t>
  </si>
  <si>
    <t>GC_3002.O2_RS</t>
  </si>
  <si>
    <t xml:space="preserve">LAG BIO GAS O2 RAW </t>
  </si>
  <si>
    <t>GC3003</t>
  </si>
  <si>
    <t>PROCESS BIO GAS</t>
  </si>
  <si>
    <t>GC_3003.CH4_RS</t>
  </si>
  <si>
    <t xml:space="preserve">PROCESS BIO GAS CH4 RAW </t>
  </si>
  <si>
    <t>FLAREBIO FIT
FLARE - BIOGAS
PASSIVE OUTPUT, 2 WIRE LOOP POWERED XMTR</t>
  </si>
  <si>
    <t>GC_3003.CO2_RS</t>
  </si>
  <si>
    <t xml:space="preserve">PROCESS BIO GAS CO2 RAW </t>
  </si>
  <si>
    <t>FLAREBIO FIT
FLARE - BIOGAS</t>
  </si>
  <si>
    <t>GC3004</t>
  </si>
  <si>
    <t>GAS CHROMATOGRAPH
E&amp;H Prosonic B200</t>
  </si>
  <si>
    <t>RNG FLARE GAS</t>
  </si>
  <si>
    <t>GC_3004.CH4_RS</t>
  </si>
  <si>
    <t xml:space="preserve">RNG FLARE GAS CH4 RAW </t>
  </si>
  <si>
    <t>RNG.FLARE GC (CH4, CO2)
FLARE - PRODUCT GAS
PASSIVE OUTPUT, 2 WIRE LOOP POWERED XMTR</t>
  </si>
  <si>
    <t>GC_3004.CO2_RS</t>
  </si>
  <si>
    <t xml:space="preserve">RNG FLARE GAS CO2 RAW </t>
  </si>
  <si>
    <t>RNG.FLARE GC (CH4, CO2)
FLARE - PRODUCT GAS</t>
  </si>
  <si>
    <t>GC3005</t>
  </si>
  <si>
    <t>GAS CHROMATOGRAPH
E&amp;H Prosonic G500 OR B200</t>
  </si>
  <si>
    <t>LAG RNG/BIO GAS</t>
  </si>
  <si>
    <t>GC_3005.CO2_RS</t>
  </si>
  <si>
    <t xml:space="preserve">LAG RNG/BIO GAS CO2 RAW </t>
  </si>
  <si>
    <t>RECIRC GC (CH4, CO2)
RECIRCULATED GAS FROM DVO AND PRODUCT GAS TO LAGOON</t>
  </si>
  <si>
    <t>GC_3005.CH4_RS</t>
  </si>
  <si>
    <t xml:space="preserve">LAG RNG/BIO GAS CH4 RAW </t>
  </si>
  <si>
    <t>RECIRC GC (CH4, CO2)
RECIRCULATED GAS FROM DVO AND PRODUCT GAS TO LAGOON
PASSIVE OUTPUT, 2 WIRE LOOP POWERED XMTR</t>
  </si>
  <si>
    <t>GC3008</t>
  </si>
  <si>
    <t>DMT VENT TO ATMOSPHERE GAS</t>
  </si>
  <si>
    <t>GC_3008.CO2_RS</t>
  </si>
  <si>
    <t xml:space="preserve">DMT VENT TO ATMOSPHERE GAS CO2 RAW </t>
  </si>
  <si>
    <t>NOT SHOWN ON P&amp;ID</t>
  </si>
  <si>
    <t>GC_3008.CH4_RS</t>
  </si>
  <si>
    <t xml:space="preserve">DMT VENT TO ATMOSPHERE GAS CH4 RAW </t>
  </si>
  <si>
    <r>
      <t xml:space="preserve">NOT SHOWN ON P&amp;ID
</t>
    </r>
    <r>
      <rPr>
        <sz val="12"/>
        <color rgb="FF002060"/>
        <rFont val="Arial"/>
        <family val="2"/>
      </rPr>
      <t>PASSIVE OUTPUT, 2 WIRE LOOP POWERED XMTR</t>
    </r>
  </si>
  <si>
    <t>PIT3001</t>
  </si>
  <si>
    <t>PRESSURE TRANSMITTER</t>
  </si>
  <si>
    <t>O2 RCVR TANK PRESSURE - DVO TO BLOWER 1</t>
  </si>
  <si>
    <t>PIT_3001.P_RS</t>
  </si>
  <si>
    <t xml:space="preserve">RNG PRESSURE RAW </t>
  </si>
  <si>
    <t>L = X
H = X</t>
  </si>
  <si>
    <t>Rosemount 3051TG
PASSIVE OUTPUT, 2 WIRE LOOP POWERED XMTR
NEW ADDITION PER EMAIL UPDATE</t>
  </si>
  <si>
    <t>PWR-MAIN</t>
  </si>
  <si>
    <t>MAIN CP PWR - INPUT RELAY</t>
  </si>
  <si>
    <t>AC FAULT ALARM RELAY</t>
  </si>
  <si>
    <t>CR_01.ACFLT</t>
  </si>
  <si>
    <t>AC FAULT ALARM RELAY SIGNAL</t>
  </si>
  <si>
    <t>NOT SURE IF WE WANT TO KEEP IT ON THIS LIST</t>
  </si>
  <si>
    <t>PWR-UPS</t>
  </si>
  <si>
    <t>UPS PWR - INPUT RELAY</t>
  </si>
  <si>
    <t>UPS FAULT ALARM RELAY</t>
  </si>
  <si>
    <t>CR_02.UPS</t>
  </si>
  <si>
    <t>UPS FAULT ALARM RELAY SIGNAL</t>
  </si>
  <si>
    <t>ACTION REQUIRED: REVIEW OR RESPONSE NEEDED.</t>
  </si>
  <si>
    <t>TAG UPDATED SINCE LAST REVIEW.</t>
  </si>
  <si>
    <t>AC_001</t>
  </si>
  <si>
    <t>AIR COMPRESSOR</t>
  </si>
  <si>
    <t>AIR COMPRESSOR FEEDER</t>
  </si>
  <si>
    <t>AC_001.RUN_ST</t>
  </si>
  <si>
    <t>AIR COMPRESSOR RUN STATUS</t>
  </si>
  <si>
    <t>NEED TO CONFIRM WIRING</t>
  </si>
  <si>
    <t>AC_001.UF001</t>
  </si>
  <si>
    <t>AIR COMPRESSOR FAILURE SIGNAL</t>
  </si>
  <si>
    <t>AC_001.RUN_CMD</t>
  </si>
  <si>
    <t>AIR COMPRESSOR RUN COMMAND</t>
  </si>
  <si>
    <t>Provided documentation references both the MAM-6090 and MAM-200 controllers. MAM-6090 control has been assumed for design purposes, requiring one dry contact for Run/Stop control. If the package utilizes a MAM-200 controller, additional outputs will be required, as separate Start and Stop command inputs are provided.
MAM-6090: APPLY SIGNAL FOR 5 SECONDS TO START. REMOVE AND REAPPLY SIGNAL FOR 5 SECONDS TO STOP.</t>
  </si>
  <si>
    <t>AC_001.STP_CMD</t>
  </si>
  <si>
    <t>AIR COMPRESSOR STOP COMMAND</t>
  </si>
  <si>
    <t>AC_010A</t>
  </si>
  <si>
    <t>AFTER COOLER</t>
  </si>
  <si>
    <t>BLWR-A DISCHARGE AFTER COOLER</t>
  </si>
  <si>
    <t>AC_010A.SPD_FBK</t>
  </si>
  <si>
    <t>BLWR-A DISCHARGE AFTER COOLER SPEED FEEDBACK</t>
  </si>
  <si>
    <t>ASSUME SINGLE-ENDED (LOOP-POWERED) SIGNAL
NEED TO UPDATE ALARM LIMITS</t>
  </si>
  <si>
    <t>AC_010A.SPD_CMD</t>
  </si>
  <si>
    <t>BLWR-A DISCHARGE AFTER COOLER SPEED COMMAND</t>
  </si>
  <si>
    <t>CONFIRM WIRING</t>
  </si>
  <si>
    <t>AC_010A.RUN_ST</t>
  </si>
  <si>
    <t>BLWR-A DISCHARGE AFTER COOLER RUN STATUS</t>
  </si>
  <si>
    <t>0 = STOPPED, 1 = RUNNING</t>
  </si>
  <si>
    <t>AC_010A.FLT_ST</t>
  </si>
  <si>
    <t>BLWR-A DISCHARGE AFTER COOLER FAULT STATUS</t>
  </si>
  <si>
    <t>0 = NORMAL, 1 = FAULT</t>
  </si>
  <si>
    <t>BLWR-B DISCHARGE AFTER COOLER</t>
  </si>
  <si>
    <t>AC_010A.RUN_CMD</t>
  </si>
  <si>
    <t>BLWR-A DISCHARGE AFTER COOLER RUN COMMAND</t>
  </si>
  <si>
    <t xml:space="preserve">WEG CFW500-IOR-B IO MODULE. 0 = STOP, 1 = RUN </t>
  </si>
  <si>
    <t>AC_010B</t>
  </si>
  <si>
    <t>AC_010B.SPD_FBK</t>
  </si>
  <si>
    <t>BLWR-B DISCHARGE AFTER COOLER SPEED FEEDBACK</t>
  </si>
  <si>
    <t>AC_010B.SPD_CMD</t>
  </si>
  <si>
    <t>BLWR-B DISCHARGE AFTER COOLER SPEED COMMAND</t>
  </si>
  <si>
    <t>AC_010B.RUN_ST</t>
  </si>
  <si>
    <t>BLWR-B DISCHARGE AFTER COOLER RUN STATUS</t>
  </si>
  <si>
    <t>AC_010B.FLT_ST</t>
  </si>
  <si>
    <t>BLWR-B DISCHARGE AFTER COOLER FAULT STATUS</t>
  </si>
  <si>
    <t>AC_010B.RUN_CMD</t>
  </si>
  <si>
    <t>BLWR-B DISCHARGE AFTER COOLER RUN COMMAND</t>
  </si>
  <si>
    <t>AD_002</t>
  </si>
  <si>
    <t>REFRIGERATED AIR DRYER</t>
  </si>
  <si>
    <t>COMPRESSED AIR DRYER</t>
  </si>
  <si>
    <t>AD_002.YC002</t>
  </si>
  <si>
    <t>COMPRESSED AIR DRYER RUN COMMAND</t>
  </si>
  <si>
    <t>DI13/S8 - REMOTE CONTROL CONTACT. 0 = STOP, 1 = RUN
NEED TO CONFIRM WIRING</t>
  </si>
  <si>
    <t>AD_002.RUN_ST</t>
  </si>
  <si>
    <t>COMPRESSED AIR DRYER RUN STATUS</t>
  </si>
  <si>
    <t>AD_002.UF002</t>
  </si>
  <si>
    <t>COMPRESSED AIR DRYER FAILURE SIGNAL</t>
  </si>
  <si>
    <t>BA_400</t>
  </si>
  <si>
    <t>GAS ANALYZER</t>
  </si>
  <si>
    <t>O2 GEN. BIO GAS ANALYZER</t>
  </si>
  <si>
    <t>BA_400.AL1</t>
  </si>
  <si>
    <t>O2 GEN. BIO GAS ANALYZER UPGRADER OUTLET ALARM 1</t>
  </si>
  <si>
    <t>NORMALLY OPEN, HELD CLOSED CONTACT. 0 = ALARM, 1 = NORMAL</t>
  </si>
  <si>
    <t>BA_400.AL2</t>
  </si>
  <si>
    <t>O2 GEN. BIO GAS ANALYZER UPGRADER OUTLET ALARM 2</t>
  </si>
  <si>
    <t xml:space="preserve">BL_2 </t>
  </si>
  <si>
    <t>LAG BLWR</t>
  </si>
  <si>
    <t>BL_2.RUN_CMD</t>
  </si>
  <si>
    <t>LAG BLWR RUN COMMAND</t>
  </si>
  <si>
    <t>DRY CONTACT. 0 = STOP, 1 = RUN. CONFIRM WIRING</t>
  </si>
  <si>
    <t>BL_2.SPD_FBK</t>
  </si>
  <si>
    <t>LAG BLWR SPEED FEEDBACK</t>
  </si>
  <si>
    <t>ASSUME SINGLE ENDED, CONFIRM WIRING</t>
  </si>
  <si>
    <t>BL_2.SPD_CMD</t>
  </si>
  <si>
    <t>LAG BLWR SPEED COMMAND</t>
  </si>
  <si>
    <t>WEG CFW500-IOR-B IO MODULE. CONFIRM WIRING (+/- TO PINS 21/19)</t>
  </si>
  <si>
    <t>BL_2.RUN_ST</t>
  </si>
  <si>
    <t>LAG BLWR RUNNING STATUS</t>
  </si>
  <si>
    <t>BL_2.MAN_ST</t>
  </si>
  <si>
    <t>LAG BLWR AUTO OPERATION STATUS</t>
  </si>
  <si>
    <t>0 = AUTO, 1 = MANUAL</t>
  </si>
  <si>
    <t>BL_2.FLT_ST</t>
  </si>
  <si>
    <t>LAG BLWR FAULT STATUS</t>
  </si>
  <si>
    <t>ON LINE BETWEEN LAGOONS WSP3/4 AND DMT ZONE</t>
  </si>
  <si>
    <t>CR_ACFLT</t>
  </si>
  <si>
    <t>NORMALLY OPEN, HELD CLOSED - 0 = ALARM, 1 = NORMAL</t>
  </si>
  <si>
    <t>CR_ESTOP</t>
  </si>
  <si>
    <t>EMERGENCY STOP ALARM RELAY</t>
  </si>
  <si>
    <t>EMERGENCY STOP RELAY SIGNAL</t>
  </si>
  <si>
    <t>NORMALLY CLOSED, HELD OPEN - 0 = NORMAL, 1 = ALARM</t>
  </si>
  <si>
    <t>CR_UPS</t>
  </si>
  <si>
    <t>FM_100</t>
  </si>
  <si>
    <t>FLOW CONTROLLER</t>
  </si>
  <si>
    <t>O2 DISCHARGE FM-100 FLOW CONTROLLER</t>
  </si>
  <si>
    <t>FM_100.F_RS</t>
  </si>
  <si>
    <t xml:space="preserve">O2 DISCHARGE FLOW RATE RAW </t>
  </si>
  <si>
    <t>ASSUME SINGLE ENDED, CONFIRM WIRING
MV100 CONTROLLED BY FM100, NO PLC CONTROL</t>
  </si>
  <si>
    <t>FM_100.F_SP</t>
  </si>
  <si>
    <t>O2 DISCHARGE FLOW SETPOINT</t>
  </si>
  <si>
    <t>CONFIRM WIRING
MV100 CONTROLLED BY FM100, NO PLC CONTROL</t>
  </si>
  <si>
    <t>MV_110</t>
  </si>
  <si>
    <t>CONTROL VALVE</t>
  </si>
  <si>
    <t>O2 SHUTOFF CONTROL VALVE</t>
  </si>
  <si>
    <t>MV_110.POS_CMD</t>
  </si>
  <si>
    <t>O2 SHUTOFF CONTROL VALVE POSITION COMMAND</t>
  </si>
  <si>
    <t>MV_110.POS_CL</t>
  </si>
  <si>
    <t>O2 SHUTOFF CONTROL VALVE IN CLOSED POSITION</t>
  </si>
  <si>
    <t>FAILED TO CLOSE ALARM</t>
  </si>
  <si>
    <t>MV_110.POS_OP</t>
  </si>
  <si>
    <t>O2 SHUTOFF CONTROL VALVE IN OPEN POSITION</t>
  </si>
  <si>
    <t>FAILED TO OPEN ALARM</t>
  </si>
  <si>
    <t>MV_112A</t>
  </si>
  <si>
    <t>BLWR-A DISCHARGE CONTROL VALVE</t>
  </si>
  <si>
    <t>MV_112A.POS_CL</t>
  </si>
  <si>
    <t>BLWR-A DISCHARGE CONTROL VALVE IN CLOSED POSITION</t>
  </si>
  <si>
    <t>MV_112A.POS_OP</t>
  </si>
  <si>
    <t>BLWR-A DISCHARGE CONTROL VALVE IN OPEN POSITION</t>
  </si>
  <si>
    <t>MV_112A.CL_CMD</t>
  </si>
  <si>
    <t>BLWR-A DISCHARGE CONTROL VALVE CLOSE COMMAND</t>
  </si>
  <si>
    <t>DRY CONTACT, 0 = STOP, 1 = RUN - CONFIRM WIRING</t>
  </si>
  <si>
    <t>MV_112A.OP_CMD</t>
  </si>
  <si>
    <t>BLWR-A DISCHARGE CONTROL VALVE OPEN COMMAND</t>
  </si>
  <si>
    <t>MV_112B</t>
  </si>
  <si>
    <t>BLWR-B DISCHARGE CONTROL VALVE</t>
  </si>
  <si>
    <t>MV_112B.POS_CL</t>
  </si>
  <si>
    <t>BLWR-B DISCHARGE CONTROL VALVE IN CLOSED POSITION</t>
  </si>
  <si>
    <t>MV_112B.POS_OP</t>
  </si>
  <si>
    <t>BLWR-B DISCHARGE CONTROL VALVE IN OPEN POSITION</t>
  </si>
  <si>
    <t>MV_112B.CL_CMD</t>
  </si>
  <si>
    <t>BLWR-B DISCHARGE CONTROL VALVE CLOSE COMMAND</t>
  </si>
  <si>
    <t>MV_112B.OP_CMD</t>
  </si>
  <si>
    <t>BLWR-B DISCHARGE CONTROL VALVE OPEN COMMAND</t>
  </si>
  <si>
    <t>OG_003</t>
  </si>
  <si>
    <t>OXYGEN GENERATOR - PSA</t>
  </si>
  <si>
    <t>O2 GENERATOR</t>
  </si>
  <si>
    <t>OG_003.YC003</t>
  </si>
  <si>
    <t>O2 GENERATOR RUN COMMAND</t>
  </si>
  <si>
    <t>OG_003.RUN_ST</t>
  </si>
  <si>
    <t>O2 GENERATOR RUN STATUS</t>
  </si>
  <si>
    <t>0 = STOPPED, 1 = RUNNING - CONFIRM WIRING</t>
  </si>
  <si>
    <t>OG_003.UF003</t>
  </si>
  <si>
    <t>O2 GENERATOR FAILURE SIGNAL</t>
  </si>
  <si>
    <t>0 = NORMAL, 1 = ALARM - CONFIRM WIRING</t>
  </si>
  <si>
    <t>PIT_010A</t>
  </si>
  <si>
    <t>BLWR-A SUCTION PRESSURE XMTR</t>
  </si>
  <si>
    <t>PIT_010A.P_RS</t>
  </si>
  <si>
    <t xml:space="preserve">BLWR-A SUCTION PRESSURE RAW </t>
  </si>
  <si>
    <t>ASSUME SINGLE-ENDED (LOOP-POWERED) SIGNAL 
NEED PART NUMBER TO CONFIRM SIGNAL WIRING</t>
  </si>
  <si>
    <t>PIT_010B</t>
  </si>
  <si>
    <t>BLWR-B SUCTION PRESSURE XMTR</t>
  </si>
  <si>
    <t>PIT_010B.P_RS</t>
  </si>
  <si>
    <t xml:space="preserve">BLWR-B SUCTION PRESSURE RAW </t>
  </si>
  <si>
    <t>PIT_012A</t>
  </si>
  <si>
    <t>BLWR-A DISCHARGE PRESSURE XMTR</t>
  </si>
  <si>
    <t>PIT_012A.P_RS</t>
  </si>
  <si>
    <t xml:space="preserve">BLWR-A DISCHARGE PRESSURE RAW </t>
  </si>
  <si>
    <t>L = 6.0 psig
H = 9.0 psig
HH = 9.5 psig</t>
  </si>
  <si>
    <t>PIT_012B</t>
  </si>
  <si>
    <t>BLWR-B DISCHARGE PRESSURE XMTR</t>
  </si>
  <si>
    <t>PIT_012B.P_RS</t>
  </si>
  <si>
    <t xml:space="preserve">BLWR-B DISCHARGE PRESSURE RAW </t>
  </si>
  <si>
    <t>PIT_020A</t>
  </si>
  <si>
    <t>DIG-A COVER PRESSURE</t>
  </si>
  <si>
    <t>PIT_020A.P_RS</t>
  </si>
  <si>
    <t xml:space="preserve">DIG-A COVER PRESSURE RAW </t>
  </si>
  <si>
    <t>PIT_020B</t>
  </si>
  <si>
    <t>DIG-B COVER PRESSURE</t>
  </si>
  <si>
    <t>PIT_020B.P_RS</t>
  </si>
  <si>
    <t xml:space="preserve">DIG-B COVER PRESSURE RAW </t>
  </si>
  <si>
    <t>PIT_3012</t>
  </si>
  <si>
    <t>WSP-3 LAGOON PRESSURE 1</t>
  </si>
  <si>
    <t>PIT_3012.P_RS</t>
  </si>
  <si>
    <t xml:space="preserve">WSP-3 LAGOON PRESSURE 1 RAW </t>
  </si>
  <si>
    <t>Rosemount 3051TG
PASSIVE OUTPUT, 2 WIRE LOOP POWERED XMTR</t>
  </si>
  <si>
    <t>PIT_3013</t>
  </si>
  <si>
    <t>WSP-3 LAGOON PRESSURE 2</t>
  </si>
  <si>
    <t>PIT_3013.P_RS</t>
  </si>
  <si>
    <t xml:space="preserve">WSP-3 LAGOON PRESSURE 2 RAW </t>
  </si>
  <si>
    <t>PIT_3014</t>
  </si>
  <si>
    <t>WSP-4 LAGOON PRESSURE 1</t>
  </si>
  <si>
    <t>PIT_3014.P_RS</t>
  </si>
  <si>
    <t xml:space="preserve">WSP-4 LAGOON PRESSURE 1 RAW </t>
  </si>
  <si>
    <t>PIT_3015</t>
  </si>
  <si>
    <t>WSP-4 LAGOON PRESSURE 2</t>
  </si>
  <si>
    <t>PIT_3015.P_RS</t>
  </si>
  <si>
    <t xml:space="preserve">WSP-4 LAGOON PRESSURE 2 RAW </t>
  </si>
  <si>
    <t>RB_010A</t>
  </si>
  <si>
    <t xml:space="preserve">DIG-A RECIRC BLWR </t>
  </si>
  <si>
    <t>RB_010A.RUN_CMD</t>
  </si>
  <si>
    <t>DIG-A RECIRC BLWR RUN COMMAND</t>
  </si>
  <si>
    <t>RB_010A.SPD_FBK</t>
  </si>
  <si>
    <t>DIG-A RECIRC BLWR SPEED FEEDBACK</t>
  </si>
  <si>
    <t>SPDMIS</t>
  </si>
  <si>
    <t>WEG CFW500-IOR-B IO MODULE. LOOP POWERED AI. SPEED MISMATCH ALARM</t>
  </si>
  <si>
    <t>RB_010A.SPD_CMD</t>
  </si>
  <si>
    <t>DIG-A RECIRC BLWR SPEED COMMAND</t>
  </si>
  <si>
    <t>RB_010A.RUN_ST</t>
  </si>
  <si>
    <t>DIG-A RECIRC BLWR RUNNING STATUS</t>
  </si>
  <si>
    <t xml:space="preserve">WEG CFW500-IOR-B IO MODULE. 0 = STOPPED, 1 = RUNNING </t>
  </si>
  <si>
    <t>RB_010A.FLT_ST</t>
  </si>
  <si>
    <t>DIG-A RECIRC BLWR FAULT STATUS</t>
  </si>
  <si>
    <t>WEG CFW500-IOR-B IO MODULE. GENERAL FAULT ALARM</t>
  </si>
  <si>
    <t>RB_010A.MAN_ST</t>
  </si>
  <si>
    <t>DIG-A RECIRC BLWR AUTO/MANUAL STATUS</t>
  </si>
  <si>
    <t>WEG CFW500-IOR-B IO MODULE. 0 = AUTO, 1 = MANUAL</t>
  </si>
  <si>
    <t>RB_010B</t>
  </si>
  <si>
    <t xml:space="preserve">DIG-B RECIRC BLWR </t>
  </si>
  <si>
    <t>RB_010B.RUN_CMD</t>
  </si>
  <si>
    <t>DIG-B RECIRC BLWR RUN COMMAND</t>
  </si>
  <si>
    <t>RB_010B.SPD_FBK</t>
  </si>
  <si>
    <t>DIG-B RECIRC BLWR SPEED FEEDBACK</t>
  </si>
  <si>
    <t>+</t>
  </si>
  <si>
    <t>WEG CFW500-IOR-B IO MODULE. LOOP POWERED AI. 
SPEED MISMATCH ALARM</t>
  </si>
  <si>
    <t>RB_010B.SPD_CMD</t>
  </si>
  <si>
    <t>DIG-B RECIRC BLWR SPEED COMMAND</t>
  </si>
  <si>
    <t>RB_010B.RUN_ST</t>
  </si>
  <si>
    <t>DIG-B RECIRC BLWR RUNNING STATUS</t>
  </si>
  <si>
    <t>RB_010B.FLT_ST</t>
  </si>
  <si>
    <t>DIG-B RECIRC BLWR FAULT STATUS</t>
  </si>
  <si>
    <t>RB_010B.MAN_ST</t>
  </si>
  <si>
    <t>DIG-B RECIRC BLWR AUTO/MANUAL STATUS</t>
  </si>
  <si>
    <t>TIT_010A</t>
  </si>
  <si>
    <t>TEMPERATURE TRANSMITTER</t>
  </si>
  <si>
    <t>BLWR-A DISCHARGE TEMPERATURE XMTR</t>
  </si>
  <si>
    <t>TIT_010A.T_RS</t>
  </si>
  <si>
    <t>BLWR-A DISCHARGE TEMPERATURE RAW</t>
  </si>
  <si>
    <t>H = 250 F
HH = 275 F</t>
  </si>
  <si>
    <t>TIT_010B</t>
  </si>
  <si>
    <t>BLWR-B DISCHARGE TEMPERATURE XMTR</t>
  </si>
  <si>
    <t>TIT_010B.T_RS</t>
  </si>
  <si>
    <t>BLWR-B DISCHARGE TEMPERATURE RAW</t>
  </si>
  <si>
    <t>TIT_011A</t>
  </si>
  <si>
    <t xml:space="preserve">AFTER COOLER-A DISCHARGE TEMPERATURE XMTR  </t>
  </si>
  <si>
    <t>TIT_011A.T_RS</t>
  </si>
  <si>
    <t>AFTER COOLER-A DISCHARGE TEMPERATURE RAW</t>
  </si>
  <si>
    <t>TIT_011B</t>
  </si>
  <si>
    <t xml:space="preserve">AFTER COOLER-B DISCHARGE TEMPERATURE XMTR  </t>
  </si>
  <si>
    <t>TIT_011B.T_RS</t>
  </si>
  <si>
    <t>AFTER COOLER-B DISCHARGE TEMPERATURE RAW</t>
  </si>
  <si>
    <t>VT_010A</t>
  </si>
  <si>
    <t>VIBRATION TRANSMITTER</t>
  </si>
  <si>
    <t>BLWR-A DISCHARGE VIBRATION XMTR</t>
  </si>
  <si>
    <t>VT_010A.V_RS</t>
  </si>
  <si>
    <t>BLWR-A DISCHARGE VIBRATION RAW</t>
  </si>
  <si>
    <t>ASSUME THIS IS THE SAME AS "VS-010A" ON DIAGRAM
ASSUME LOOP-POWERED) SIGNAL 
NEED PART NUMBER TO ONFIRM SIGNAL WIRING</t>
  </si>
  <si>
    <t>VT_010B</t>
  </si>
  <si>
    <t>BLWR-B DISCHARGE VIBRATION XMTR</t>
  </si>
  <si>
    <t>VT_010B.V_RS</t>
  </si>
  <si>
    <t>BLWR-B DISCHARGE VIBRATION RAW</t>
  </si>
  <si>
    <t>ASSUME THIS IS THE SAME AS "VS-010B" ON DIAGRAM
ASSUME SINGLE-ENDED (LOOP-POWERED) SIGNAL 
NEED PART NUMBER TO CONFIRM SIGNAL WIRING</t>
  </si>
  <si>
    <t>CR-01-ACFLT</t>
  </si>
  <si>
    <t>INPUT RELAY</t>
  </si>
  <si>
    <t>CR01ACFLT</t>
  </si>
  <si>
    <t>CV-3006</t>
  </si>
  <si>
    <t>CONTROL VALVE (FY)</t>
  </si>
  <si>
    <t>PIPELINE DIVERT CONTROL VALVE</t>
  </si>
  <si>
    <t>CV3006.POS_CMD</t>
  </si>
  <si>
    <t>PIPELINE DIVERT CONTROL VALVE POSITION RAW COMMAND</t>
  </si>
  <si>
    <t>CV3006.POS_OP</t>
  </si>
  <si>
    <t>PIPELINE DIVERT CONTROL VALVE IN OPEN POSITION</t>
  </si>
  <si>
    <t>CV3006.POS_CL</t>
  </si>
  <si>
    <t>PIPELINE DIVERT CONTROL VALVE IN CLOSED POSITION</t>
  </si>
  <si>
    <t>FIT-3006</t>
  </si>
  <si>
    <t>PIPELINE FLOW</t>
  </si>
  <si>
    <t>FIT3006.F_RS</t>
  </si>
  <si>
    <t xml:space="preserve">PIPELINE FLOW RATE RAW </t>
  </si>
  <si>
    <t>FIT-3007</t>
  </si>
  <si>
    <t>PIPELINE RETURN FLOW</t>
  </si>
  <si>
    <t>FIT3007.F_RS</t>
  </si>
  <si>
    <t xml:space="preserve">PIPELINE RETURN FLOW RATE RAW </t>
  </si>
  <si>
    <t>GC-3006</t>
  </si>
  <si>
    <t>PIPELINE GAS</t>
  </si>
  <si>
    <t>GC3006.CH4_RS</t>
  </si>
  <si>
    <t xml:space="preserve">PIPELINE GAS CH4 RAW </t>
  </si>
  <si>
    <t>PIPELINE GC 1000
PASSIVE OUTPUT, 2 WIRE LOOP POWERED XMTR</t>
  </si>
  <si>
    <t>GC3006.CO2_RS</t>
  </si>
  <si>
    <t xml:space="preserve">PIPELINE GAS CO2 RAW </t>
  </si>
  <si>
    <t>GC-3007</t>
  </si>
  <si>
    <t>PIPELINE RETURN GAS</t>
  </si>
  <si>
    <t>GC3007.CH4_RS</t>
  </si>
  <si>
    <t xml:space="preserve">PIPELINE RETURN GAS CH4 RAW </t>
  </si>
  <si>
    <t>RECIRC GC (CH4, CO2)
REJECT RNG TO LAGOON FROM INJECTION POINT
PASSIVE OUTPUT, 2 WIRE LOOP POWERED XMTR</t>
  </si>
  <si>
    <t>GC3007.CO2_RS</t>
  </si>
  <si>
    <t xml:space="preserve">PIPELINE RETURN GAS CO2 RAW </t>
  </si>
  <si>
    <t>RECIRC GC (CH4, CO2)
REJECT RNG TO LAGOON FROM INJECTION POINT</t>
  </si>
  <si>
    <t>PIT-3006</t>
  </si>
  <si>
    <t>RNG PRESSURE - PRODUCT GAS TO ONEGAS</t>
  </si>
  <si>
    <t>PIT3006.P_RS</t>
  </si>
  <si>
    <t>TIT-3006</t>
  </si>
  <si>
    <t>PIPELINE TEMPERATURE</t>
  </si>
  <si>
    <t>TIT3006.T_RS</t>
  </si>
  <si>
    <t>PIPELINE TEMPERATURE RAW</t>
  </si>
  <si>
    <t>PIPELINE TIT 1000
PASSIVE OUTPUT, 2 WIRE LOOP POWERED XMTR</t>
  </si>
  <si>
    <t>PANEL</t>
  </si>
  <si>
    <t>CLASSIFIED IO #</t>
  </si>
  <si>
    <t>NON-CLASSIFIED IO #</t>
  </si>
  <si>
    <t>TOTAL</t>
  </si>
  <si>
    <t>BOP-PLC-CP</t>
  </si>
  <si>
    <t>LGN-PLC-CP</t>
  </si>
  <si>
    <t>KCG-RIO-CP</t>
  </si>
  <si>
    <t>COMMENTS</t>
  </si>
  <si>
    <t>RESPONSES</t>
  </si>
  <si>
    <t>RB-010-A/B</t>
  </si>
  <si>
    <t xml:space="preserve">Is the VFD part# CFW500F77P0T4DB20G2? 
</t>
  </si>
  <si>
    <t>Are we using the standard I/O module WEG CFW500-IOS supplied with the drive for our inputs from the VFD? 
The standard module provides 4DI/1AI/1AO/1DOR/1DOT, so only one relay output is available and second signal would need to be a transistor output. 
We can switch to the CFW500-IOR-B module (5DI/1AI/1AO/4DOR/1DOT) if we need both to signals to be relay outputs.</t>
  </si>
  <si>
    <t>VFD needs to be programmed and IO needs to be assigned in it to achieve required function. Who is responsible for doing this?</t>
  </si>
  <si>
    <t>AC-001</t>
  </si>
  <si>
    <t>The Document says that the compressor runs on its own native demand loading and require no PLC process sequencing. Do we only need the remote Off command?</t>
  </si>
  <si>
    <t>If using PLC Run Commands - Remote On and Off commands are separate inputs to the compressor per drawing, do we need 2 different outputs from the PLC or do use 1 relay and wire NO/NC contacts for ON/OFF?</t>
  </si>
  <si>
    <t>AD-002</t>
  </si>
  <si>
    <t>The Document says that the dryer runs on its own native demand loading and require no PLC process sequencing. Do we only need the remote Off command?</t>
  </si>
  <si>
    <t>OG-003</t>
  </si>
  <si>
    <t>The Document says that the Generator runs on its own native demand loading and require no PLC process sequencing. Do we only need the remote Off command?</t>
  </si>
  <si>
    <t>AC-010-A/B</t>
  </si>
  <si>
    <t>Are we controlling the After cooler motor from our PLC?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</si>
</sst>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ptos Narrow"/>
      <family val="2"/>
      <scheme val="minor"/>
    </font>
    <font>
      <sz val="12"/>
      <color rgb="FF002060"/>
      <name val="Arial"/>
      <family val="2"/>
    </font>
    <font>
      <b/>
      <sz val="12"/>
      <color theme="1"/>
      <name val="Arial"/>
      <family val="2"/>
    </font>
    <font>
      <strike/>
      <sz val="12"/>
      <color rgb="FF002060"/>
      <name val="Arial"/>
      <family val="2"/>
    </font>
    <font>
      <strike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trike/>
      <sz val="12"/>
      <name val="Arial"/>
      <family val="2"/>
    </font>
    <font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vertical="center" wrapText="1"/>
    </xf>
    <xf numFmtId="0" fontId="1" fillId="5" borderId="6" xfId="0" applyFont="1" applyFill="1" applyBorder="1" applyAlignment="1">
      <alignment vertical="center" wrapText="1"/>
    </xf>
    <xf numFmtId="0" fontId="1" fillId="5" borderId="7" xfId="0" applyFont="1" applyFill="1" applyBorder="1" applyAlignment="1">
      <alignment vertical="center" wrapText="1"/>
    </xf>
    <xf numFmtId="0" fontId="8" fillId="4" borderId="13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left" vertical="center" wrapText="1"/>
    </xf>
    <xf numFmtId="0" fontId="8" fillId="7" borderId="13" xfId="0" applyFont="1" applyFill="1" applyBorder="1" applyAlignment="1">
      <alignment horizontal="left" vertical="center" wrapText="1"/>
    </xf>
    <xf numFmtId="0" fontId="0" fillId="4" borderId="0" xfId="0" applyFill="1"/>
    <xf numFmtId="0" fontId="0" fillId="6" borderId="0" xfId="0" applyFill="1"/>
    <xf numFmtId="0" fontId="3" fillId="0" borderId="0" xfId="0" applyFont="1"/>
    <xf numFmtId="0" fontId="11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2" fillId="7" borderId="8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9" fillId="7" borderId="13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CD012A-1756-44B5-8C93-CF7757A673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yle Howard" id="{74150FB0-E1E1-431D-876B-46062C37FCAC}" userId="S::[REDACTED]::64e8ec0d-0962-43b9-9c19-fa9309dce3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1" dT="2026-04-14T20:23:41.24" personId="{74150FB0-E1E1-431D-876B-46062C37FCAC}" id="{FD3CD99A-1263-456D-B147-B7BD017F71D0}">
    <text>Typically an open/close valve isnt going to have analog position feedback… it is available but usually its just ZSO/ZSC</text>
  </threadedComment>
  <threadedComment ref="G17" dT="2026-04-14T20:23:41.24" personId="{74150FB0-E1E1-431D-876B-46062C37FCAC}" id="{F69DA7D7-C167-4719-9FA7-55E3E18585A4}">
    <text>Typically an open/close valve isnt going to have analog position feedback… it is available but usually its just ZSO/ZSC</text>
  </threadedComment>
  <threadedComment ref="G20" dT="2026-04-14T20:23:41.24" personId="{74150FB0-E1E1-431D-876B-46062C37FCAC}" id="{CFC25A61-C770-47F8-8283-62024CE23D6B}">
    <text>Typically an open/close valve isnt going to have analog position feedback… it is available but usually its just ZSO/ZSC</text>
  </threadedComment>
  <threadedComment ref="G23" dT="2026-04-14T20:23:41.24" personId="{74150FB0-E1E1-431D-876B-46062C37FCAC}" id="{360CCE61-8225-4B52-BC58-E3DBFBD53087}">
    <text>Typically an open/close valve isnt going to have analog position feedback… it is available but usually its just ZSO/ZSC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" dT="2026-04-14T20:23:41.24" personId="{74150FB0-E1E1-431D-876B-46062C37FCAC}" id="{46157488-EBE9-4C36-9E61-AF06505CB795}">
    <text>Typically an open/close valve isnt going to have analog position feedback… it is available but usually its just ZSO/ZSC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852E-D4A6-4235-A672-EABABB9DF946}">
  <sheetPr filterMode="1"/>
  <dimension ref="A1:K59"/>
  <sheetViews>
    <sheetView tabSelected="1" zoomScale="70" zoomScaleNormal="70" workbookViewId="0">
      <pane xSplit="1" ySplit="2" topLeftCell="B9" activePane="bottomRight" state="frozen"/>
      <selection pane="topRight" activeCell="B1" sqref="B1"/>
      <selection pane="bottomLeft" activeCell="A4" sqref="A4"/>
      <selection pane="bottomRight" activeCell="A9" sqref="A9:A21"/>
    </sheetView>
  </sheetViews>
  <sheetFormatPr defaultColWidth="9.140625" defaultRowHeight="34.9" customHeight="1" x14ac:dyDescent="0.25"/>
  <cols>
    <col min="1" max="1" width="21.85546875" style="1" bestFit="1" customWidth="1"/>
    <col min="2" max="2" width="35.140625" style="1" customWidth="1"/>
    <col min="3" max="3" width="37.140625" style="9" customWidth="1"/>
    <col min="4" max="4" width="27.140625" style="7" bestFit="1" customWidth="1"/>
    <col min="5" max="5" width="28.42578125" style="1" customWidth="1"/>
    <col min="6" max="6" width="40.7109375" style="1" customWidth="1"/>
    <col min="7" max="7" width="17.28515625" style="7" bestFit="1" customWidth="1"/>
    <col min="8" max="8" width="15.28515625" style="7" bestFit="1" customWidth="1"/>
    <col min="9" max="9" width="22.28515625" style="7" bestFit="1" customWidth="1"/>
    <col min="10" max="10" width="15.42578125" style="7" customWidth="1"/>
    <col min="11" max="11" width="64.85546875" style="1" customWidth="1"/>
    <col min="12" max="13" width="9.140625" style="4"/>
    <col min="14" max="14" width="19" style="4" customWidth="1"/>
    <col min="15" max="15" width="26" style="4" customWidth="1"/>
    <col min="16" max="16" width="17.28515625" style="4" customWidth="1"/>
    <col min="17" max="17" width="21.28515625" style="4" customWidth="1"/>
    <col min="18" max="18" width="24.7109375" style="4" customWidth="1"/>
    <col min="19" max="16384" width="9.140625" style="4"/>
  </cols>
  <sheetData>
    <row r="1" spans="1:11" ht="34.9" customHeight="1" thickBot="1" x14ac:dyDescent="0.3">
      <c r="A1" s="66" t="s">
        <v>0</v>
      </c>
      <c r="B1" s="67"/>
      <c r="C1" s="67"/>
      <c r="D1" s="68"/>
      <c r="E1" s="66" t="s">
        <v>1</v>
      </c>
      <c r="F1" s="67"/>
      <c r="G1" s="67"/>
      <c r="H1" s="68"/>
      <c r="I1" s="102" t="s">
        <v>2</v>
      </c>
      <c r="J1" s="103"/>
      <c r="K1" s="26"/>
    </row>
    <row r="2" spans="1:11" ht="34.9" customHeight="1" thickBot="1" x14ac:dyDescent="0.3">
      <c r="A2" s="36" t="s">
        <v>3</v>
      </c>
      <c r="B2" s="36" t="s">
        <v>4</v>
      </c>
      <c r="C2" s="36" t="s">
        <v>5</v>
      </c>
      <c r="D2" s="37" t="s">
        <v>6</v>
      </c>
      <c r="E2" s="36" t="s">
        <v>7</v>
      </c>
      <c r="F2" s="36" t="s">
        <v>8</v>
      </c>
      <c r="G2" s="37" t="s">
        <v>9</v>
      </c>
      <c r="H2" s="37" t="s">
        <v>10</v>
      </c>
      <c r="I2" s="37" t="s">
        <v>11</v>
      </c>
      <c r="J2" s="38" t="s">
        <v>12</v>
      </c>
      <c r="K2" s="39" t="s">
        <v>13</v>
      </c>
    </row>
    <row r="3" spans="1:11" ht="30" hidden="1" customHeight="1" x14ac:dyDescent="0.25">
      <c r="A3" s="30" t="s">
        <v>14</v>
      </c>
      <c r="B3" s="31" t="s">
        <v>15</v>
      </c>
      <c r="C3" s="31" t="s">
        <v>16</v>
      </c>
      <c r="D3" s="32" t="s">
        <v>17</v>
      </c>
      <c r="E3" s="30" t="s">
        <v>18</v>
      </c>
      <c r="F3" s="31" t="s">
        <v>19</v>
      </c>
      <c r="G3" s="33" t="s">
        <v>20</v>
      </c>
      <c r="H3" s="32" t="s">
        <v>17</v>
      </c>
      <c r="I3" s="34">
        <v>10</v>
      </c>
      <c r="J3" s="32">
        <v>4</v>
      </c>
      <c r="K3" s="35" t="s">
        <v>21</v>
      </c>
    </row>
    <row r="4" spans="1:11" ht="30" hidden="1" customHeight="1" x14ac:dyDescent="0.25">
      <c r="A4" s="18" t="s">
        <v>14</v>
      </c>
      <c r="B4" s="3" t="s">
        <v>15</v>
      </c>
      <c r="C4" s="3" t="s">
        <v>16</v>
      </c>
      <c r="D4" s="19" t="s">
        <v>17</v>
      </c>
      <c r="E4" s="18" t="s">
        <v>22</v>
      </c>
      <c r="F4" s="3" t="s">
        <v>23</v>
      </c>
      <c r="G4" s="6" t="s">
        <v>24</v>
      </c>
      <c r="H4" s="19" t="s">
        <v>17</v>
      </c>
      <c r="I4" s="24">
        <v>5</v>
      </c>
      <c r="J4" s="19">
        <v>0</v>
      </c>
      <c r="K4" s="27" t="s">
        <v>21</v>
      </c>
    </row>
    <row r="5" spans="1:11" ht="30" hidden="1" customHeight="1" x14ac:dyDescent="0.25">
      <c r="A5" s="18" t="s">
        <v>14</v>
      </c>
      <c r="B5" s="3" t="s">
        <v>15</v>
      </c>
      <c r="C5" s="3" t="s">
        <v>16</v>
      </c>
      <c r="D5" s="19" t="s">
        <v>17</v>
      </c>
      <c r="E5" s="18" t="s">
        <v>25</v>
      </c>
      <c r="F5" s="3" t="s">
        <v>26</v>
      </c>
      <c r="G5" s="6" t="s">
        <v>27</v>
      </c>
      <c r="H5" s="19" t="s">
        <v>28</v>
      </c>
      <c r="I5" s="24">
        <v>8</v>
      </c>
      <c r="J5" s="19">
        <v>2</v>
      </c>
      <c r="K5" s="27" t="s">
        <v>21</v>
      </c>
    </row>
    <row r="6" spans="1:11" ht="30" hidden="1" customHeight="1" x14ac:dyDescent="0.25">
      <c r="A6" s="18" t="s">
        <v>14</v>
      </c>
      <c r="B6" s="3" t="s">
        <v>15</v>
      </c>
      <c r="C6" s="3" t="s">
        <v>16</v>
      </c>
      <c r="D6" s="19" t="s">
        <v>17</v>
      </c>
      <c r="E6" s="18" t="s">
        <v>29</v>
      </c>
      <c r="F6" s="3" t="s">
        <v>30</v>
      </c>
      <c r="G6" s="6" t="s">
        <v>27</v>
      </c>
      <c r="H6" s="19" t="s">
        <v>31</v>
      </c>
      <c r="I6" s="24">
        <v>8</v>
      </c>
      <c r="J6" s="19">
        <v>3</v>
      </c>
      <c r="K6" s="27" t="s">
        <v>21</v>
      </c>
    </row>
    <row r="7" spans="1:11" ht="34.5" hidden="1" customHeight="1" x14ac:dyDescent="0.25">
      <c r="A7" s="94" t="s">
        <v>14</v>
      </c>
      <c r="B7" s="95" t="s">
        <v>15</v>
      </c>
      <c r="C7" s="95" t="s">
        <v>16</v>
      </c>
      <c r="D7" s="96" t="s">
        <v>17</v>
      </c>
      <c r="E7" s="94" t="s">
        <v>32</v>
      </c>
      <c r="F7" s="95" t="s">
        <v>33</v>
      </c>
      <c r="G7" s="71" t="s">
        <v>27</v>
      </c>
      <c r="H7" s="96" t="s">
        <v>17</v>
      </c>
      <c r="I7" s="98">
        <v>9</v>
      </c>
      <c r="J7" s="96">
        <v>0</v>
      </c>
      <c r="K7" s="100" t="s">
        <v>34</v>
      </c>
    </row>
    <row r="8" spans="1:11" ht="30" hidden="1" customHeight="1" x14ac:dyDescent="0.25">
      <c r="A8" s="18" t="s">
        <v>14</v>
      </c>
      <c r="B8" s="3" t="s">
        <v>15</v>
      </c>
      <c r="C8" s="3" t="s">
        <v>16</v>
      </c>
      <c r="D8" s="19" t="s">
        <v>17</v>
      </c>
      <c r="E8" s="18" t="s">
        <v>35</v>
      </c>
      <c r="F8" s="3" t="s">
        <v>36</v>
      </c>
      <c r="G8" s="73" t="s">
        <v>37</v>
      </c>
      <c r="H8" s="19" t="s">
        <v>38</v>
      </c>
      <c r="I8" s="24">
        <v>4</v>
      </c>
      <c r="J8" s="19">
        <v>2</v>
      </c>
      <c r="K8" s="27" t="s">
        <v>39</v>
      </c>
    </row>
    <row r="9" spans="1:11" ht="31.15" customHeight="1" x14ac:dyDescent="0.25">
      <c r="A9" s="18" t="s">
        <v>40</v>
      </c>
      <c r="B9" s="3" t="s">
        <v>41</v>
      </c>
      <c r="C9" s="3" t="s">
        <v>42</v>
      </c>
      <c r="D9" s="19" t="s">
        <v>43</v>
      </c>
      <c r="E9" s="18" t="s">
        <v>44</v>
      </c>
      <c r="F9" s="3" t="s">
        <v>45</v>
      </c>
      <c r="G9" s="6" t="s">
        <v>24</v>
      </c>
      <c r="H9" s="19" t="s">
        <v>17</v>
      </c>
      <c r="I9" s="24">
        <v>5</v>
      </c>
      <c r="J9" s="19">
        <v>1</v>
      </c>
      <c r="K9" s="50" t="s">
        <v>46</v>
      </c>
    </row>
    <row r="10" spans="1:11" ht="30" hidden="1" customHeight="1" x14ac:dyDescent="0.25">
      <c r="A10" s="18" t="s">
        <v>40</v>
      </c>
      <c r="B10" s="3" t="s">
        <v>41</v>
      </c>
      <c r="C10" s="3" t="s">
        <v>42</v>
      </c>
      <c r="D10" s="19" t="s">
        <v>43</v>
      </c>
      <c r="E10" s="18" t="s">
        <v>47</v>
      </c>
      <c r="F10" s="3" t="s">
        <v>48</v>
      </c>
      <c r="G10" s="6" t="s">
        <v>27</v>
      </c>
      <c r="H10" s="19" t="s">
        <v>49</v>
      </c>
      <c r="I10" s="24">
        <v>8</v>
      </c>
      <c r="J10" s="19">
        <v>6</v>
      </c>
      <c r="K10" s="50" t="s">
        <v>46</v>
      </c>
    </row>
    <row r="11" spans="1:11" ht="30" hidden="1" customHeight="1" x14ac:dyDescent="0.25">
      <c r="A11" s="18" t="s">
        <v>40</v>
      </c>
      <c r="B11" s="3" t="s">
        <v>41</v>
      </c>
      <c r="C11" s="3" t="s">
        <v>42</v>
      </c>
      <c r="D11" s="19" t="s">
        <v>43</v>
      </c>
      <c r="E11" s="18" t="s">
        <v>50</v>
      </c>
      <c r="F11" s="3" t="s">
        <v>51</v>
      </c>
      <c r="G11" s="6" t="s">
        <v>27</v>
      </c>
      <c r="H11" s="19" t="s">
        <v>52</v>
      </c>
      <c r="I11" s="24">
        <v>8</v>
      </c>
      <c r="J11" s="19">
        <v>7</v>
      </c>
      <c r="K11" s="27" t="s">
        <v>46</v>
      </c>
    </row>
    <row r="12" spans="1:11" ht="30" customHeight="1" x14ac:dyDescent="0.25">
      <c r="A12" s="20" t="s">
        <v>53</v>
      </c>
      <c r="B12" s="11" t="s">
        <v>41</v>
      </c>
      <c r="C12" s="11" t="s">
        <v>54</v>
      </c>
      <c r="D12" s="21" t="s">
        <v>43</v>
      </c>
      <c r="E12" s="22" t="s">
        <v>55</v>
      </c>
      <c r="F12" s="11" t="s">
        <v>56</v>
      </c>
      <c r="G12" s="12" t="s">
        <v>24</v>
      </c>
      <c r="H12" s="23" t="s">
        <v>17</v>
      </c>
      <c r="I12" s="25">
        <v>5</v>
      </c>
      <c r="J12" s="21">
        <v>2</v>
      </c>
      <c r="K12" s="28" t="s">
        <v>57</v>
      </c>
    </row>
    <row r="13" spans="1:11" ht="30" hidden="1" customHeight="1" x14ac:dyDescent="0.25">
      <c r="A13" s="20" t="s">
        <v>53</v>
      </c>
      <c r="B13" s="11" t="s">
        <v>41</v>
      </c>
      <c r="C13" s="11" t="s">
        <v>54</v>
      </c>
      <c r="D13" s="21" t="s">
        <v>43</v>
      </c>
      <c r="E13" s="22" t="s">
        <v>58</v>
      </c>
      <c r="F13" s="11" t="s">
        <v>59</v>
      </c>
      <c r="G13" s="12" t="s">
        <v>27</v>
      </c>
      <c r="H13" s="23" t="s">
        <v>49</v>
      </c>
      <c r="I13" s="25">
        <v>8</v>
      </c>
      <c r="J13" s="21">
        <v>8</v>
      </c>
      <c r="K13" s="28" t="s">
        <v>57</v>
      </c>
    </row>
    <row r="14" spans="1:11" ht="30" hidden="1" customHeight="1" x14ac:dyDescent="0.25">
      <c r="A14" s="20" t="s">
        <v>53</v>
      </c>
      <c r="B14" s="11" t="s">
        <v>41</v>
      </c>
      <c r="C14" s="11" t="s">
        <v>54</v>
      </c>
      <c r="D14" s="21" t="s">
        <v>43</v>
      </c>
      <c r="E14" s="22" t="s">
        <v>60</v>
      </c>
      <c r="F14" s="11" t="s">
        <v>61</v>
      </c>
      <c r="G14" s="12" t="s">
        <v>27</v>
      </c>
      <c r="H14" s="23" t="s">
        <v>52</v>
      </c>
      <c r="I14" s="25">
        <v>8</v>
      </c>
      <c r="J14" s="21">
        <v>9</v>
      </c>
      <c r="K14" s="28" t="s">
        <v>57</v>
      </c>
    </row>
    <row r="15" spans="1:11" ht="30" customHeight="1" x14ac:dyDescent="0.25">
      <c r="A15" s="18" t="s">
        <v>62</v>
      </c>
      <c r="B15" s="3" t="s">
        <v>41</v>
      </c>
      <c r="C15" s="3" t="s">
        <v>63</v>
      </c>
      <c r="D15" s="19" t="s">
        <v>43</v>
      </c>
      <c r="E15" s="18" t="s">
        <v>64</v>
      </c>
      <c r="F15" s="3" t="s">
        <v>65</v>
      </c>
      <c r="G15" s="6" t="s">
        <v>24</v>
      </c>
      <c r="H15" s="19" t="s">
        <v>17</v>
      </c>
      <c r="I15" s="24">
        <v>6</v>
      </c>
      <c r="J15" s="19">
        <v>0</v>
      </c>
      <c r="K15" s="27" t="s">
        <v>66</v>
      </c>
    </row>
    <row r="16" spans="1:11" ht="30" hidden="1" customHeight="1" x14ac:dyDescent="0.25">
      <c r="A16" s="18" t="s">
        <v>62</v>
      </c>
      <c r="B16" s="3" t="s">
        <v>41</v>
      </c>
      <c r="C16" s="3" t="s">
        <v>63</v>
      </c>
      <c r="D16" s="19" t="s">
        <v>43</v>
      </c>
      <c r="E16" s="18" t="s">
        <v>67</v>
      </c>
      <c r="F16" s="3" t="s">
        <v>68</v>
      </c>
      <c r="G16" s="6" t="s">
        <v>27</v>
      </c>
      <c r="H16" s="19" t="s">
        <v>49</v>
      </c>
      <c r="I16" s="24">
        <v>8</v>
      </c>
      <c r="J16" s="19">
        <v>10</v>
      </c>
      <c r="K16" s="27" t="s">
        <v>66</v>
      </c>
    </row>
    <row r="17" spans="1:11" ht="30" hidden="1" customHeight="1" x14ac:dyDescent="0.25">
      <c r="A17" s="18" t="s">
        <v>62</v>
      </c>
      <c r="B17" s="3" t="s">
        <v>41</v>
      </c>
      <c r="C17" s="3" t="s">
        <v>63</v>
      </c>
      <c r="D17" s="19" t="s">
        <v>43</v>
      </c>
      <c r="E17" s="18" t="s">
        <v>69</v>
      </c>
      <c r="F17" s="3" t="s">
        <v>70</v>
      </c>
      <c r="G17" s="6" t="s">
        <v>27</v>
      </c>
      <c r="H17" s="19" t="s">
        <v>52</v>
      </c>
      <c r="I17" s="24">
        <v>8</v>
      </c>
      <c r="J17" s="19">
        <v>11</v>
      </c>
      <c r="K17" s="27" t="s">
        <v>66</v>
      </c>
    </row>
    <row r="18" spans="1:11" ht="30" customHeight="1" x14ac:dyDescent="0.25">
      <c r="A18" s="18" t="s">
        <v>71</v>
      </c>
      <c r="B18" s="3" t="s">
        <v>41</v>
      </c>
      <c r="C18" s="3" t="s">
        <v>72</v>
      </c>
      <c r="D18" s="19" t="s">
        <v>43</v>
      </c>
      <c r="E18" s="18" t="s">
        <v>73</v>
      </c>
      <c r="F18" s="3" t="s">
        <v>74</v>
      </c>
      <c r="G18" s="6" t="s">
        <v>24</v>
      </c>
      <c r="H18" s="19" t="s">
        <v>17</v>
      </c>
      <c r="I18" s="24">
        <v>6</v>
      </c>
      <c r="J18" s="19">
        <v>1</v>
      </c>
      <c r="K18" s="27" t="s">
        <v>46</v>
      </c>
    </row>
    <row r="19" spans="1:11" ht="30" hidden="1" customHeight="1" x14ac:dyDescent="0.25">
      <c r="A19" s="18" t="s">
        <v>71</v>
      </c>
      <c r="B19" s="3" t="s">
        <v>41</v>
      </c>
      <c r="C19" s="3" t="s">
        <v>72</v>
      </c>
      <c r="D19" s="19" t="s">
        <v>43</v>
      </c>
      <c r="E19" s="18" t="s">
        <v>75</v>
      </c>
      <c r="F19" s="3" t="s">
        <v>76</v>
      </c>
      <c r="G19" s="6" t="s">
        <v>27</v>
      </c>
      <c r="H19" s="19" t="s">
        <v>49</v>
      </c>
      <c r="I19" s="24">
        <v>8</v>
      </c>
      <c r="J19" s="19">
        <v>12</v>
      </c>
      <c r="K19" s="27" t="s">
        <v>46</v>
      </c>
    </row>
    <row r="20" spans="1:11" ht="30" hidden="1" customHeight="1" x14ac:dyDescent="0.25">
      <c r="A20" s="18" t="s">
        <v>71</v>
      </c>
      <c r="B20" s="3" t="s">
        <v>41</v>
      </c>
      <c r="C20" s="3" t="s">
        <v>72</v>
      </c>
      <c r="D20" s="19" t="s">
        <v>43</v>
      </c>
      <c r="E20" s="18" t="s">
        <v>77</v>
      </c>
      <c r="F20" s="3" t="s">
        <v>78</v>
      </c>
      <c r="G20" s="6" t="s">
        <v>27</v>
      </c>
      <c r="H20" s="19" t="s">
        <v>52</v>
      </c>
      <c r="I20" s="24">
        <v>8</v>
      </c>
      <c r="J20" s="19">
        <v>13</v>
      </c>
      <c r="K20" s="27" t="s">
        <v>46</v>
      </c>
    </row>
    <row r="21" spans="1:11" ht="30" customHeight="1" x14ac:dyDescent="0.25">
      <c r="A21" s="18" t="s">
        <v>79</v>
      </c>
      <c r="B21" s="3" t="s">
        <v>41</v>
      </c>
      <c r="C21" s="3" t="s">
        <v>80</v>
      </c>
      <c r="D21" s="19" t="s">
        <v>43</v>
      </c>
      <c r="E21" s="18" t="s">
        <v>81</v>
      </c>
      <c r="F21" s="3" t="s">
        <v>82</v>
      </c>
      <c r="G21" s="6" t="s">
        <v>24</v>
      </c>
      <c r="H21" s="19" t="s">
        <v>17</v>
      </c>
      <c r="I21" s="24">
        <v>6</v>
      </c>
      <c r="J21" s="19">
        <v>2</v>
      </c>
      <c r="K21" s="27" t="s">
        <v>83</v>
      </c>
    </row>
    <row r="22" spans="1:11" ht="30" hidden="1" customHeight="1" x14ac:dyDescent="0.25">
      <c r="A22" s="18" t="s">
        <v>79</v>
      </c>
      <c r="B22" s="3" t="s">
        <v>41</v>
      </c>
      <c r="C22" s="3" t="s">
        <v>80</v>
      </c>
      <c r="D22" s="19" t="s">
        <v>43</v>
      </c>
      <c r="E22" s="18" t="s">
        <v>84</v>
      </c>
      <c r="F22" s="3" t="s">
        <v>85</v>
      </c>
      <c r="G22" s="6" t="s">
        <v>27</v>
      </c>
      <c r="H22" s="19" t="s">
        <v>49</v>
      </c>
      <c r="I22" s="24">
        <v>8</v>
      </c>
      <c r="J22" s="19">
        <v>14</v>
      </c>
      <c r="K22" s="27" t="s">
        <v>83</v>
      </c>
    </row>
    <row r="23" spans="1:11" ht="30" hidden="1" customHeight="1" x14ac:dyDescent="0.25">
      <c r="A23" s="18" t="s">
        <v>79</v>
      </c>
      <c r="B23" s="3" t="s">
        <v>41</v>
      </c>
      <c r="C23" s="3" t="s">
        <v>80</v>
      </c>
      <c r="D23" s="19" t="s">
        <v>43</v>
      </c>
      <c r="E23" s="18" t="s">
        <v>86</v>
      </c>
      <c r="F23" s="3" t="s">
        <v>87</v>
      </c>
      <c r="G23" s="6" t="s">
        <v>27</v>
      </c>
      <c r="H23" s="19" t="s">
        <v>52</v>
      </c>
      <c r="I23" s="24">
        <v>8</v>
      </c>
      <c r="J23" s="19">
        <v>15</v>
      </c>
      <c r="K23" s="27" t="s">
        <v>83</v>
      </c>
    </row>
    <row r="24" spans="1:11" ht="30" customHeight="1" x14ac:dyDescent="0.25">
      <c r="A24" s="94" t="s">
        <v>88</v>
      </c>
      <c r="B24" s="95" t="s">
        <v>41</v>
      </c>
      <c r="C24" s="95" t="s">
        <v>89</v>
      </c>
      <c r="D24" s="96" t="s">
        <v>43</v>
      </c>
      <c r="E24" s="94" t="s">
        <v>90</v>
      </c>
      <c r="F24" s="95" t="s">
        <v>91</v>
      </c>
      <c r="G24" s="97" t="s">
        <v>24</v>
      </c>
      <c r="H24" s="96" t="s">
        <v>17</v>
      </c>
      <c r="I24" s="98">
        <v>7</v>
      </c>
      <c r="J24" s="96">
        <v>0</v>
      </c>
      <c r="K24" s="99" t="s">
        <v>92</v>
      </c>
    </row>
    <row r="25" spans="1:11" ht="30" hidden="1" customHeight="1" x14ac:dyDescent="0.25">
      <c r="A25" s="94" t="s">
        <v>88</v>
      </c>
      <c r="B25" s="95" t="s">
        <v>41</v>
      </c>
      <c r="C25" s="95" t="s">
        <v>89</v>
      </c>
      <c r="D25" s="96" t="s">
        <v>43</v>
      </c>
      <c r="E25" s="94" t="s">
        <v>93</v>
      </c>
      <c r="F25" s="95" t="s">
        <v>94</v>
      </c>
      <c r="G25" s="97" t="s">
        <v>27</v>
      </c>
      <c r="H25" s="96" t="s">
        <v>49</v>
      </c>
      <c r="I25" s="98">
        <v>9</v>
      </c>
      <c r="J25" s="96">
        <v>1</v>
      </c>
      <c r="K25" s="99" t="s">
        <v>92</v>
      </c>
    </row>
    <row r="26" spans="1:11" ht="30" hidden="1" customHeight="1" x14ac:dyDescent="0.25">
      <c r="A26" s="94" t="s">
        <v>88</v>
      </c>
      <c r="B26" s="95" t="s">
        <v>41</v>
      </c>
      <c r="C26" s="95" t="s">
        <v>89</v>
      </c>
      <c r="D26" s="96" t="s">
        <v>43</v>
      </c>
      <c r="E26" s="94" t="s">
        <v>95</v>
      </c>
      <c r="F26" s="95" t="s">
        <v>96</v>
      </c>
      <c r="G26" s="97" t="s">
        <v>27</v>
      </c>
      <c r="H26" s="96" t="s">
        <v>52</v>
      </c>
      <c r="I26" s="98">
        <v>9</v>
      </c>
      <c r="J26" s="96">
        <v>2</v>
      </c>
      <c r="K26" s="99" t="s">
        <v>92</v>
      </c>
    </row>
    <row r="27" spans="1:11" ht="30" customHeight="1" x14ac:dyDescent="0.25">
      <c r="A27" s="94" t="s">
        <v>97</v>
      </c>
      <c r="B27" s="95" t="s">
        <v>41</v>
      </c>
      <c r="C27" s="95" t="s">
        <v>98</v>
      </c>
      <c r="D27" s="96" t="s">
        <v>43</v>
      </c>
      <c r="E27" s="94" t="s">
        <v>99</v>
      </c>
      <c r="F27" s="95" t="s">
        <v>91</v>
      </c>
      <c r="G27" s="97" t="s">
        <v>24</v>
      </c>
      <c r="H27" s="96" t="s">
        <v>17</v>
      </c>
      <c r="I27" s="98">
        <v>7</v>
      </c>
      <c r="J27" s="96">
        <v>1</v>
      </c>
      <c r="K27" s="99" t="s">
        <v>92</v>
      </c>
    </row>
    <row r="28" spans="1:11" ht="30" hidden="1" customHeight="1" x14ac:dyDescent="0.25">
      <c r="A28" s="94" t="s">
        <v>97</v>
      </c>
      <c r="B28" s="95" t="s">
        <v>41</v>
      </c>
      <c r="C28" s="95" t="s">
        <v>98</v>
      </c>
      <c r="D28" s="96" t="s">
        <v>43</v>
      </c>
      <c r="E28" s="94" t="s">
        <v>100</v>
      </c>
      <c r="F28" s="95" t="s">
        <v>94</v>
      </c>
      <c r="G28" s="97" t="s">
        <v>27</v>
      </c>
      <c r="H28" s="96" t="s">
        <v>49</v>
      </c>
      <c r="I28" s="98">
        <v>9</v>
      </c>
      <c r="J28" s="96">
        <v>3</v>
      </c>
      <c r="K28" s="99" t="s">
        <v>92</v>
      </c>
    </row>
    <row r="29" spans="1:11" ht="50.25" hidden="1" customHeight="1" x14ac:dyDescent="0.25">
      <c r="A29" s="94" t="s">
        <v>97</v>
      </c>
      <c r="B29" s="95" t="s">
        <v>41</v>
      </c>
      <c r="C29" s="95" t="s">
        <v>98</v>
      </c>
      <c r="D29" s="96" t="s">
        <v>43</v>
      </c>
      <c r="E29" s="94" t="s">
        <v>101</v>
      </c>
      <c r="F29" s="95" t="s">
        <v>96</v>
      </c>
      <c r="G29" s="97" t="s">
        <v>27</v>
      </c>
      <c r="H29" s="96" t="s">
        <v>52</v>
      </c>
      <c r="I29" s="98">
        <v>9</v>
      </c>
      <c r="J29" s="96">
        <v>4</v>
      </c>
      <c r="K29" s="99" t="s">
        <v>92</v>
      </c>
    </row>
    <row r="30" spans="1:11" ht="30" customHeight="1" x14ac:dyDescent="0.25">
      <c r="A30" s="94" t="s">
        <v>102</v>
      </c>
      <c r="B30" s="95" t="s">
        <v>41</v>
      </c>
      <c r="C30" s="95" t="s">
        <v>103</v>
      </c>
      <c r="D30" s="96" t="s">
        <v>43</v>
      </c>
      <c r="E30" s="94" t="s">
        <v>104</v>
      </c>
      <c r="F30" s="95" t="s">
        <v>91</v>
      </c>
      <c r="G30" s="97" t="s">
        <v>24</v>
      </c>
      <c r="H30" s="96" t="s">
        <v>17</v>
      </c>
      <c r="I30" s="98">
        <v>7</v>
      </c>
      <c r="J30" s="96">
        <v>2</v>
      </c>
      <c r="K30" s="99" t="s">
        <v>92</v>
      </c>
    </row>
    <row r="31" spans="1:11" ht="30" hidden="1" customHeight="1" x14ac:dyDescent="0.25">
      <c r="A31" s="94" t="s">
        <v>102</v>
      </c>
      <c r="B31" s="95" t="s">
        <v>41</v>
      </c>
      <c r="C31" s="95" t="s">
        <v>103</v>
      </c>
      <c r="D31" s="96" t="s">
        <v>43</v>
      </c>
      <c r="E31" s="94" t="s">
        <v>105</v>
      </c>
      <c r="F31" s="95" t="s">
        <v>94</v>
      </c>
      <c r="G31" s="97" t="s">
        <v>27</v>
      </c>
      <c r="H31" s="96" t="s">
        <v>49</v>
      </c>
      <c r="I31" s="98">
        <v>9</v>
      </c>
      <c r="J31" s="96">
        <v>5</v>
      </c>
      <c r="K31" s="99" t="s">
        <v>92</v>
      </c>
    </row>
    <row r="32" spans="1:11" ht="30" hidden="1" customHeight="1" x14ac:dyDescent="0.25">
      <c r="A32" s="94" t="s">
        <v>102</v>
      </c>
      <c r="B32" s="95" t="s">
        <v>41</v>
      </c>
      <c r="C32" s="95" t="s">
        <v>103</v>
      </c>
      <c r="D32" s="96" t="s">
        <v>43</v>
      </c>
      <c r="E32" s="94" t="s">
        <v>106</v>
      </c>
      <c r="F32" s="95" t="s">
        <v>96</v>
      </c>
      <c r="G32" s="97" t="s">
        <v>27</v>
      </c>
      <c r="H32" s="96" t="s">
        <v>52</v>
      </c>
      <c r="I32" s="98">
        <v>9</v>
      </c>
      <c r="J32" s="96">
        <v>6</v>
      </c>
      <c r="K32" s="99" t="s">
        <v>92</v>
      </c>
    </row>
    <row r="33" spans="1:11" ht="30" hidden="1" customHeight="1" x14ac:dyDescent="0.25">
      <c r="A33" s="18" t="s">
        <v>107</v>
      </c>
      <c r="B33" s="3" t="s">
        <v>108</v>
      </c>
      <c r="C33" s="3" t="s">
        <v>109</v>
      </c>
      <c r="D33" s="19" t="s">
        <v>17</v>
      </c>
      <c r="E33" s="18" t="s">
        <v>110</v>
      </c>
      <c r="F33" s="3" t="s">
        <v>111</v>
      </c>
      <c r="G33" s="6" t="s">
        <v>112</v>
      </c>
      <c r="H33" s="19" t="s">
        <v>113</v>
      </c>
      <c r="I33" s="24">
        <v>1</v>
      </c>
      <c r="J33" s="19">
        <v>0</v>
      </c>
      <c r="K33" s="27" t="s">
        <v>114</v>
      </c>
    </row>
    <row r="34" spans="1:11" ht="30" hidden="1" customHeight="1" x14ac:dyDescent="0.25">
      <c r="A34" s="18" t="s">
        <v>115</v>
      </c>
      <c r="B34" s="3" t="s">
        <v>108</v>
      </c>
      <c r="C34" s="3" t="s">
        <v>116</v>
      </c>
      <c r="D34" s="19" t="s">
        <v>17</v>
      </c>
      <c r="E34" s="18" t="s">
        <v>117</v>
      </c>
      <c r="F34" s="3" t="s">
        <v>118</v>
      </c>
      <c r="G34" s="6" t="s">
        <v>112</v>
      </c>
      <c r="H34" s="19" t="s">
        <v>113</v>
      </c>
      <c r="I34" s="24">
        <v>1</v>
      </c>
      <c r="J34" s="19">
        <v>1</v>
      </c>
      <c r="K34" s="27" t="s">
        <v>114</v>
      </c>
    </row>
    <row r="35" spans="1:11" ht="60" hidden="1" x14ac:dyDescent="0.25">
      <c r="A35" s="18" t="s">
        <v>119</v>
      </c>
      <c r="B35" s="3" t="s">
        <v>108</v>
      </c>
      <c r="C35" s="3" t="s">
        <v>120</v>
      </c>
      <c r="D35" s="19" t="s">
        <v>17</v>
      </c>
      <c r="E35" s="18" t="s">
        <v>121</v>
      </c>
      <c r="F35" s="3" t="s">
        <v>122</v>
      </c>
      <c r="G35" s="6" t="s">
        <v>112</v>
      </c>
      <c r="H35" s="19" t="s">
        <v>113</v>
      </c>
      <c r="I35" s="24">
        <v>1</v>
      </c>
      <c r="J35" s="19">
        <v>2</v>
      </c>
      <c r="K35" s="27" t="s">
        <v>114</v>
      </c>
    </row>
    <row r="36" spans="1:11" ht="60" hidden="1" x14ac:dyDescent="0.25">
      <c r="A36" s="18" t="s">
        <v>123</v>
      </c>
      <c r="B36" s="3" t="s">
        <v>108</v>
      </c>
      <c r="C36" s="3" t="s">
        <v>124</v>
      </c>
      <c r="D36" s="19" t="s">
        <v>17</v>
      </c>
      <c r="E36" s="18" t="s">
        <v>125</v>
      </c>
      <c r="F36" s="3" t="s">
        <v>126</v>
      </c>
      <c r="G36" s="6" t="s">
        <v>112</v>
      </c>
      <c r="H36" s="19" t="s">
        <v>113</v>
      </c>
      <c r="I36" s="24">
        <v>1</v>
      </c>
      <c r="J36" s="19">
        <v>3</v>
      </c>
      <c r="K36" s="27" t="s">
        <v>127</v>
      </c>
    </row>
    <row r="37" spans="1:11" ht="60" hidden="1" x14ac:dyDescent="0.25">
      <c r="A37" s="18" t="s">
        <v>128</v>
      </c>
      <c r="B37" s="3" t="s">
        <v>108</v>
      </c>
      <c r="C37" s="3" t="s">
        <v>129</v>
      </c>
      <c r="D37" s="19" t="s">
        <v>17</v>
      </c>
      <c r="E37" s="18" t="s">
        <v>130</v>
      </c>
      <c r="F37" s="3" t="s">
        <v>131</v>
      </c>
      <c r="G37" s="6" t="s">
        <v>112</v>
      </c>
      <c r="H37" s="19" t="s">
        <v>113</v>
      </c>
      <c r="I37" s="24">
        <v>1</v>
      </c>
      <c r="J37" s="19">
        <v>4</v>
      </c>
      <c r="K37" s="27" t="s">
        <v>132</v>
      </c>
    </row>
    <row r="38" spans="1:11" ht="60" hidden="1" x14ac:dyDescent="0.25">
      <c r="A38" s="20" t="s">
        <v>133</v>
      </c>
      <c r="B38" s="11" t="s">
        <v>108</v>
      </c>
      <c r="C38" s="11" t="s">
        <v>134</v>
      </c>
      <c r="D38" s="21" t="s">
        <v>17</v>
      </c>
      <c r="E38" s="22" t="s">
        <v>135</v>
      </c>
      <c r="F38" s="11" t="s">
        <v>136</v>
      </c>
      <c r="G38" s="12" t="s">
        <v>112</v>
      </c>
      <c r="H38" s="23" t="s">
        <v>113</v>
      </c>
      <c r="I38" s="25">
        <v>1</v>
      </c>
      <c r="J38" s="21">
        <v>5</v>
      </c>
      <c r="K38" s="28" t="s">
        <v>132</v>
      </c>
    </row>
    <row r="39" spans="1:11" ht="30" hidden="1" x14ac:dyDescent="0.25">
      <c r="A39" s="20" t="s">
        <v>137</v>
      </c>
      <c r="B39" s="11" t="s">
        <v>138</v>
      </c>
      <c r="C39" s="11" t="s">
        <v>139</v>
      </c>
      <c r="D39" s="21" t="s">
        <v>17</v>
      </c>
      <c r="E39" s="22" t="s">
        <v>140</v>
      </c>
      <c r="F39" s="11" t="s">
        <v>141</v>
      </c>
      <c r="G39" s="12" t="s">
        <v>27</v>
      </c>
      <c r="H39" s="23" t="s">
        <v>31</v>
      </c>
      <c r="I39" s="25">
        <v>8</v>
      </c>
      <c r="J39" s="21">
        <v>4</v>
      </c>
      <c r="K39" s="28" t="s">
        <v>142</v>
      </c>
    </row>
    <row r="40" spans="1:11" ht="30" hidden="1" x14ac:dyDescent="0.25">
      <c r="A40" s="20" t="s">
        <v>137</v>
      </c>
      <c r="B40" s="11" t="s">
        <v>138</v>
      </c>
      <c r="C40" s="11" t="s">
        <v>139</v>
      </c>
      <c r="D40" s="21" t="s">
        <v>17</v>
      </c>
      <c r="E40" s="22" t="s">
        <v>143</v>
      </c>
      <c r="F40" s="11" t="s">
        <v>144</v>
      </c>
      <c r="G40" s="12" t="s">
        <v>27</v>
      </c>
      <c r="H40" s="23" t="s">
        <v>28</v>
      </c>
      <c r="I40" s="25">
        <v>8</v>
      </c>
      <c r="J40" s="21">
        <v>5</v>
      </c>
      <c r="K40" s="28" t="s">
        <v>142</v>
      </c>
    </row>
    <row r="41" spans="1:11" ht="30" hidden="1" customHeight="1" x14ac:dyDescent="0.25">
      <c r="A41" s="20" t="s">
        <v>137</v>
      </c>
      <c r="B41" s="11" t="s">
        <v>138</v>
      </c>
      <c r="C41" s="11" t="s">
        <v>139</v>
      </c>
      <c r="D41" s="21" t="s">
        <v>17</v>
      </c>
      <c r="E41" s="22" t="s">
        <v>145</v>
      </c>
      <c r="F41" s="11" t="s">
        <v>146</v>
      </c>
      <c r="G41" s="12" t="s">
        <v>20</v>
      </c>
      <c r="H41" s="23" t="s">
        <v>17</v>
      </c>
      <c r="I41" s="25">
        <v>10</v>
      </c>
      <c r="J41" s="21">
        <v>5</v>
      </c>
      <c r="K41" s="28" t="s">
        <v>142</v>
      </c>
    </row>
    <row r="42" spans="1:11" ht="30" hidden="1" customHeight="1" x14ac:dyDescent="0.25">
      <c r="A42" s="20" t="s">
        <v>137</v>
      </c>
      <c r="B42" s="11" t="s">
        <v>138</v>
      </c>
      <c r="C42" s="11" t="s">
        <v>139</v>
      </c>
      <c r="D42" s="21" t="s">
        <v>17</v>
      </c>
      <c r="E42" s="22" t="s">
        <v>147</v>
      </c>
      <c r="F42" s="11" t="s">
        <v>148</v>
      </c>
      <c r="G42" s="12" t="s">
        <v>20</v>
      </c>
      <c r="H42" s="23" t="s">
        <v>17</v>
      </c>
      <c r="I42" s="25">
        <v>10</v>
      </c>
      <c r="J42" s="21">
        <v>6</v>
      </c>
      <c r="K42" s="28" t="s">
        <v>142</v>
      </c>
    </row>
    <row r="43" spans="1:11" ht="30" hidden="1" customHeight="1" x14ac:dyDescent="0.25">
      <c r="A43" s="18" t="s">
        <v>149</v>
      </c>
      <c r="B43" s="3" t="s">
        <v>150</v>
      </c>
      <c r="C43" s="3" t="s">
        <v>151</v>
      </c>
      <c r="D43" s="19" t="s">
        <v>17</v>
      </c>
      <c r="E43" s="18" t="s">
        <v>152</v>
      </c>
      <c r="F43" s="3" t="s">
        <v>153</v>
      </c>
      <c r="G43" s="6" t="s">
        <v>37</v>
      </c>
      <c r="H43" s="19" t="s">
        <v>113</v>
      </c>
      <c r="I43" s="24">
        <v>3</v>
      </c>
      <c r="J43" s="19">
        <v>0</v>
      </c>
      <c r="K43" s="27" t="s">
        <v>154</v>
      </c>
    </row>
    <row r="44" spans="1:11" ht="30" hidden="1" customHeight="1" x14ac:dyDescent="0.25">
      <c r="A44" s="18" t="s">
        <v>149</v>
      </c>
      <c r="B44" s="3" t="s">
        <v>150</v>
      </c>
      <c r="C44" s="3" t="s">
        <v>151</v>
      </c>
      <c r="D44" s="19" t="s">
        <v>17</v>
      </c>
      <c r="E44" s="18" t="s">
        <v>155</v>
      </c>
      <c r="F44" s="3" t="s">
        <v>156</v>
      </c>
      <c r="G44" s="6" t="s">
        <v>157</v>
      </c>
      <c r="H44" s="19" t="s">
        <v>113</v>
      </c>
      <c r="I44" s="24">
        <v>3</v>
      </c>
      <c r="J44" s="19">
        <v>0</v>
      </c>
      <c r="K44" s="27" t="s">
        <v>158</v>
      </c>
    </row>
    <row r="45" spans="1:11" ht="60" hidden="1" x14ac:dyDescent="0.25">
      <c r="A45" s="18" t="s">
        <v>159</v>
      </c>
      <c r="B45" s="3" t="s">
        <v>160</v>
      </c>
      <c r="C45" s="3" t="s">
        <v>161</v>
      </c>
      <c r="D45" s="19" t="s">
        <v>17</v>
      </c>
      <c r="E45" s="18" t="s">
        <v>162</v>
      </c>
      <c r="F45" s="3" t="s">
        <v>163</v>
      </c>
      <c r="G45" s="6" t="s">
        <v>37</v>
      </c>
      <c r="H45" s="19" t="s">
        <v>113</v>
      </c>
      <c r="I45" s="24">
        <v>3</v>
      </c>
      <c r="J45" s="19">
        <v>1</v>
      </c>
      <c r="K45" s="27" t="s">
        <v>164</v>
      </c>
    </row>
    <row r="46" spans="1:11" ht="60" hidden="1" x14ac:dyDescent="0.25">
      <c r="A46" s="18" t="s">
        <v>159</v>
      </c>
      <c r="B46" s="3" t="s">
        <v>160</v>
      </c>
      <c r="C46" s="3" t="s">
        <v>161</v>
      </c>
      <c r="D46" s="19" t="s">
        <v>17</v>
      </c>
      <c r="E46" s="18" t="s">
        <v>165</v>
      </c>
      <c r="F46" s="3" t="s">
        <v>166</v>
      </c>
      <c r="G46" s="6" t="s">
        <v>157</v>
      </c>
      <c r="H46" s="19" t="s">
        <v>113</v>
      </c>
      <c r="I46" s="24">
        <v>3</v>
      </c>
      <c r="J46" s="19">
        <v>1</v>
      </c>
      <c r="K46" s="27" t="s">
        <v>167</v>
      </c>
    </row>
    <row r="47" spans="1:11" ht="60" hidden="1" x14ac:dyDescent="0.25">
      <c r="A47" s="18" t="s">
        <v>159</v>
      </c>
      <c r="B47" s="3" t="s">
        <v>160</v>
      </c>
      <c r="C47" s="3" t="s">
        <v>161</v>
      </c>
      <c r="D47" s="19" t="s">
        <v>17</v>
      </c>
      <c r="E47" s="18" t="s">
        <v>168</v>
      </c>
      <c r="F47" s="3" t="s">
        <v>169</v>
      </c>
      <c r="G47" s="6" t="s">
        <v>157</v>
      </c>
      <c r="H47" s="19" t="s">
        <v>113</v>
      </c>
      <c r="I47" s="24">
        <v>3</v>
      </c>
      <c r="J47" s="19">
        <v>1</v>
      </c>
      <c r="K47" s="27" t="s">
        <v>167</v>
      </c>
    </row>
    <row r="48" spans="1:11" ht="60" hidden="1" x14ac:dyDescent="0.25">
      <c r="A48" s="18" t="s">
        <v>159</v>
      </c>
      <c r="B48" s="3" t="s">
        <v>160</v>
      </c>
      <c r="C48" s="3" t="s">
        <v>161</v>
      </c>
      <c r="D48" s="19" t="s">
        <v>17</v>
      </c>
      <c r="E48" s="18" t="s">
        <v>170</v>
      </c>
      <c r="F48" s="3" t="s">
        <v>171</v>
      </c>
      <c r="G48" s="6" t="s">
        <v>157</v>
      </c>
      <c r="H48" s="19" t="s">
        <v>113</v>
      </c>
      <c r="I48" s="24">
        <v>3</v>
      </c>
      <c r="J48" s="19">
        <v>1</v>
      </c>
      <c r="K48" s="27" t="s">
        <v>167</v>
      </c>
    </row>
    <row r="49" spans="1:11" ht="60" hidden="1" x14ac:dyDescent="0.25">
      <c r="A49" s="18" t="s">
        <v>172</v>
      </c>
      <c r="B49" s="3" t="s">
        <v>150</v>
      </c>
      <c r="C49" s="3" t="s">
        <v>173</v>
      </c>
      <c r="D49" s="19" t="s">
        <v>17</v>
      </c>
      <c r="E49" s="18" t="s">
        <v>174</v>
      </c>
      <c r="F49" s="3" t="s">
        <v>175</v>
      </c>
      <c r="G49" s="6" t="s">
        <v>37</v>
      </c>
      <c r="H49" s="19" t="s">
        <v>113</v>
      </c>
      <c r="I49" s="24">
        <v>3</v>
      </c>
      <c r="J49" s="19">
        <v>2</v>
      </c>
      <c r="K49" s="27" t="s">
        <v>176</v>
      </c>
    </row>
    <row r="50" spans="1:11" ht="60" hidden="1" x14ac:dyDescent="0.25">
      <c r="A50" s="18" t="s">
        <v>172</v>
      </c>
      <c r="B50" s="3" t="s">
        <v>150</v>
      </c>
      <c r="C50" s="3" t="s">
        <v>173</v>
      </c>
      <c r="D50" s="19" t="s">
        <v>17</v>
      </c>
      <c r="E50" s="18" t="s">
        <v>177</v>
      </c>
      <c r="F50" s="3" t="s">
        <v>178</v>
      </c>
      <c r="G50" s="6" t="s">
        <v>157</v>
      </c>
      <c r="H50" s="19" t="s">
        <v>113</v>
      </c>
      <c r="I50" s="24">
        <v>3</v>
      </c>
      <c r="J50" s="19">
        <v>2</v>
      </c>
      <c r="K50" s="27" t="s">
        <v>179</v>
      </c>
    </row>
    <row r="51" spans="1:11" ht="60" hidden="1" x14ac:dyDescent="0.25">
      <c r="A51" s="18" t="s">
        <v>180</v>
      </c>
      <c r="B51" s="3" t="s">
        <v>181</v>
      </c>
      <c r="C51" s="3" t="s">
        <v>182</v>
      </c>
      <c r="D51" s="19" t="s">
        <v>17</v>
      </c>
      <c r="E51" s="18" t="s">
        <v>183</v>
      </c>
      <c r="F51" s="3" t="s">
        <v>184</v>
      </c>
      <c r="G51" s="6" t="s">
        <v>37</v>
      </c>
      <c r="H51" s="19" t="s">
        <v>113</v>
      </c>
      <c r="I51" s="24">
        <v>3</v>
      </c>
      <c r="J51" s="19">
        <v>3</v>
      </c>
      <c r="K51" s="27" t="s">
        <v>185</v>
      </c>
    </row>
    <row r="52" spans="1:11" ht="60" hidden="1" x14ac:dyDescent="0.25">
      <c r="A52" s="18" t="s">
        <v>180</v>
      </c>
      <c r="B52" s="3" t="s">
        <v>181</v>
      </c>
      <c r="C52" s="3" t="s">
        <v>182</v>
      </c>
      <c r="D52" s="19" t="s">
        <v>17</v>
      </c>
      <c r="E52" s="18" t="s">
        <v>186</v>
      </c>
      <c r="F52" s="3" t="s">
        <v>187</v>
      </c>
      <c r="G52" s="6" t="s">
        <v>157</v>
      </c>
      <c r="H52" s="19" t="s">
        <v>113</v>
      </c>
      <c r="I52" s="24">
        <v>3</v>
      </c>
      <c r="J52" s="19">
        <v>3</v>
      </c>
      <c r="K52" s="27" t="s">
        <v>188</v>
      </c>
    </row>
    <row r="53" spans="1:11" ht="60" hidden="1" x14ac:dyDescent="0.25">
      <c r="A53" s="18" t="s">
        <v>189</v>
      </c>
      <c r="B53" s="3" t="s">
        <v>190</v>
      </c>
      <c r="C53" s="3" t="s">
        <v>191</v>
      </c>
      <c r="D53" s="19" t="s">
        <v>17</v>
      </c>
      <c r="E53" s="18" t="s">
        <v>192</v>
      </c>
      <c r="F53" s="3" t="s">
        <v>193</v>
      </c>
      <c r="G53" s="6" t="s">
        <v>157</v>
      </c>
      <c r="H53" s="19" t="s">
        <v>113</v>
      </c>
      <c r="I53" s="24">
        <v>4</v>
      </c>
      <c r="J53" s="19">
        <v>0</v>
      </c>
      <c r="K53" s="27" t="s">
        <v>194</v>
      </c>
    </row>
    <row r="54" spans="1:11" ht="60" hidden="1" x14ac:dyDescent="0.25">
      <c r="A54" s="18" t="s">
        <v>189</v>
      </c>
      <c r="B54" s="3" t="s">
        <v>190</v>
      </c>
      <c r="C54" s="3" t="s">
        <v>191</v>
      </c>
      <c r="D54" s="19" t="s">
        <v>17</v>
      </c>
      <c r="E54" s="18" t="s">
        <v>195</v>
      </c>
      <c r="F54" s="3" t="s">
        <v>196</v>
      </c>
      <c r="G54" s="6" t="s">
        <v>37</v>
      </c>
      <c r="H54" s="19" t="s">
        <v>113</v>
      </c>
      <c r="I54" s="24">
        <v>4</v>
      </c>
      <c r="J54" s="19">
        <v>0</v>
      </c>
      <c r="K54" s="27" t="s">
        <v>197</v>
      </c>
    </row>
    <row r="55" spans="1:11" ht="60" hidden="1" x14ac:dyDescent="0.25">
      <c r="A55" s="20" t="s">
        <v>198</v>
      </c>
      <c r="B55" s="11" t="s">
        <v>160</v>
      </c>
      <c r="C55" s="11" t="s">
        <v>199</v>
      </c>
      <c r="D55" s="21" t="s">
        <v>17</v>
      </c>
      <c r="E55" s="22" t="s">
        <v>200</v>
      </c>
      <c r="F55" s="11" t="s">
        <v>201</v>
      </c>
      <c r="G55" s="12" t="s">
        <v>157</v>
      </c>
      <c r="H55" s="23" t="s">
        <v>113</v>
      </c>
      <c r="I55" s="25">
        <v>4</v>
      </c>
      <c r="J55" s="21">
        <v>1</v>
      </c>
      <c r="K55" s="28" t="s">
        <v>202</v>
      </c>
    </row>
    <row r="56" spans="1:11" ht="60" hidden="1" x14ac:dyDescent="0.25">
      <c r="A56" s="20" t="s">
        <v>198</v>
      </c>
      <c r="B56" s="11" t="s">
        <v>160</v>
      </c>
      <c r="C56" s="11" t="s">
        <v>199</v>
      </c>
      <c r="D56" s="21" t="s">
        <v>17</v>
      </c>
      <c r="E56" s="22" t="s">
        <v>203</v>
      </c>
      <c r="F56" s="11" t="s">
        <v>204</v>
      </c>
      <c r="G56" s="12" t="s">
        <v>37</v>
      </c>
      <c r="H56" s="23" t="s">
        <v>113</v>
      </c>
      <c r="I56" s="25">
        <v>4</v>
      </c>
      <c r="J56" s="21">
        <v>1</v>
      </c>
      <c r="K56" s="29" t="s">
        <v>205</v>
      </c>
    </row>
    <row r="57" spans="1:11" ht="45" hidden="1" x14ac:dyDescent="0.25">
      <c r="A57" s="20" t="s">
        <v>206</v>
      </c>
      <c r="B57" s="11" t="s">
        <v>207</v>
      </c>
      <c r="C57" s="11" t="s">
        <v>208</v>
      </c>
      <c r="D57" s="21" t="s">
        <v>17</v>
      </c>
      <c r="E57" s="22" t="s">
        <v>209</v>
      </c>
      <c r="F57" s="11" t="s">
        <v>210</v>
      </c>
      <c r="G57" s="12" t="s">
        <v>112</v>
      </c>
      <c r="H57" s="23" t="s">
        <v>211</v>
      </c>
      <c r="I57" s="25">
        <v>1</v>
      </c>
      <c r="J57" s="21">
        <v>6</v>
      </c>
      <c r="K57" s="28" t="s">
        <v>212</v>
      </c>
    </row>
    <row r="58" spans="1:11" ht="15" hidden="1" x14ac:dyDescent="0.25">
      <c r="A58" s="18" t="s">
        <v>213</v>
      </c>
      <c r="B58" s="3" t="s">
        <v>214</v>
      </c>
      <c r="C58" s="3" t="s">
        <v>215</v>
      </c>
      <c r="D58" s="19" t="s">
        <v>17</v>
      </c>
      <c r="E58" s="18" t="s">
        <v>216</v>
      </c>
      <c r="F58" s="3" t="s">
        <v>217</v>
      </c>
      <c r="G58" s="6" t="s">
        <v>27</v>
      </c>
      <c r="H58" s="19" t="s">
        <v>31</v>
      </c>
      <c r="I58" s="24">
        <v>8</v>
      </c>
      <c r="J58" s="19">
        <v>0</v>
      </c>
      <c r="K58" s="27" t="s">
        <v>218</v>
      </c>
    </row>
    <row r="59" spans="1:11" ht="15" hidden="1" x14ac:dyDescent="0.25">
      <c r="A59" s="40" t="s">
        <v>219</v>
      </c>
      <c r="B59" s="41" t="s">
        <v>220</v>
      </c>
      <c r="C59" s="41" t="s">
        <v>221</v>
      </c>
      <c r="D59" s="42" t="s">
        <v>17</v>
      </c>
      <c r="E59" s="40" t="s">
        <v>222</v>
      </c>
      <c r="F59" s="41" t="s">
        <v>223</v>
      </c>
      <c r="G59" s="46" t="s">
        <v>27</v>
      </c>
      <c r="H59" s="42" t="s">
        <v>31</v>
      </c>
      <c r="I59" s="47">
        <v>8</v>
      </c>
      <c r="J59" s="42">
        <v>1</v>
      </c>
      <c r="K59" s="101" t="s">
        <v>218</v>
      </c>
    </row>
  </sheetData>
  <autoFilter ref="A2:K59" xr:uid="{36E2852E-D4A6-4235-A672-EABABB9DF946}">
    <filterColumn colId="1">
      <filters>
        <filter val="CONTROL VALVE (FV)"/>
      </filters>
    </filterColumn>
    <filterColumn colId="6">
      <filters>
        <filter val="AO"/>
      </filters>
    </filterColumn>
    <sortState xmlns:xlrd2="http://schemas.microsoft.com/office/spreadsheetml/2017/richdata2" ref="A3:K59">
      <sortCondition ref="A2:A59"/>
    </sortState>
  </autoFilter>
  <mergeCells count="1">
    <mergeCell ref="I1:J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12E5-8383-4DC7-941C-C7E1CD01A534}">
  <dimension ref="A1:N74"/>
  <sheetViews>
    <sheetView zoomScale="70" zoomScaleNormal="70"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A27" sqref="A27"/>
    </sheetView>
  </sheetViews>
  <sheetFormatPr defaultColWidth="9.140625" defaultRowHeight="15" x14ac:dyDescent="0.25"/>
  <cols>
    <col min="1" max="1" width="21.85546875" style="1" bestFit="1" customWidth="1"/>
    <col min="2" max="2" width="35.140625" style="1" customWidth="1"/>
    <col min="3" max="3" width="42.28515625" style="9" customWidth="1"/>
    <col min="4" max="4" width="27.140625" style="7" bestFit="1" customWidth="1"/>
    <col min="5" max="5" width="28.42578125" style="1" customWidth="1"/>
    <col min="6" max="6" width="63.28515625" style="1" customWidth="1"/>
    <col min="7" max="7" width="17.28515625" style="7" bestFit="1" customWidth="1"/>
    <col min="8" max="8" width="15.28515625" style="7" bestFit="1" customWidth="1"/>
    <col min="9" max="9" width="17" style="7" customWidth="1"/>
    <col min="10" max="10" width="15.42578125" style="7" customWidth="1"/>
    <col min="11" max="11" width="77.7109375" style="1" customWidth="1"/>
    <col min="12" max="12" width="9.140625" style="4"/>
    <col min="13" max="13" width="16.7109375" customWidth="1"/>
    <col min="14" max="14" width="19" style="4" customWidth="1"/>
    <col min="15" max="15" width="26" style="4" customWidth="1"/>
    <col min="16" max="16" width="17.28515625" style="4" customWidth="1"/>
    <col min="17" max="17" width="21.28515625" style="4" customWidth="1"/>
    <col min="18" max="18" width="24.7109375" style="4" customWidth="1"/>
    <col min="19" max="16384" width="9.140625" style="4"/>
  </cols>
  <sheetData>
    <row r="1" spans="1:14" ht="34.9" customHeight="1" thickBot="1" x14ac:dyDescent="0.3">
      <c r="A1" s="66" t="s">
        <v>0</v>
      </c>
      <c r="B1" s="67"/>
      <c r="C1" s="67"/>
      <c r="D1" s="68"/>
      <c r="E1" s="66" t="s">
        <v>1</v>
      </c>
      <c r="F1" s="67"/>
      <c r="G1" s="67"/>
      <c r="H1" s="68"/>
      <c r="I1" s="102" t="s">
        <v>2</v>
      </c>
      <c r="J1" s="103"/>
      <c r="K1" s="26"/>
      <c r="M1" s="89"/>
      <c r="N1" s="54" t="s">
        <v>224</v>
      </c>
    </row>
    <row r="2" spans="1:14" ht="36" x14ac:dyDescent="0.25">
      <c r="A2" s="2" t="s">
        <v>3</v>
      </c>
      <c r="B2" s="2" t="s">
        <v>4</v>
      </c>
      <c r="C2" s="2" t="s">
        <v>5</v>
      </c>
      <c r="D2" s="5" t="s">
        <v>6</v>
      </c>
      <c r="E2" s="2" t="s">
        <v>7</v>
      </c>
      <c r="F2" s="2" t="s">
        <v>8</v>
      </c>
      <c r="G2" s="5" t="s">
        <v>9</v>
      </c>
      <c r="H2" s="5" t="s">
        <v>10</v>
      </c>
      <c r="I2" s="5" t="s">
        <v>11</v>
      </c>
      <c r="J2" s="8" t="s">
        <v>12</v>
      </c>
      <c r="K2" s="17" t="s">
        <v>13</v>
      </c>
      <c r="M2" s="90"/>
      <c r="N2" s="54" t="s">
        <v>225</v>
      </c>
    </row>
    <row r="3" spans="1:14" ht="37.9" customHeight="1" x14ac:dyDescent="0.25">
      <c r="A3" s="20" t="s">
        <v>226</v>
      </c>
      <c r="B3" s="11" t="s">
        <v>227</v>
      </c>
      <c r="C3" s="11" t="s">
        <v>228</v>
      </c>
      <c r="D3" s="21" t="s">
        <v>17</v>
      </c>
      <c r="E3" s="22" t="s">
        <v>229</v>
      </c>
      <c r="F3" s="11" t="s">
        <v>230</v>
      </c>
      <c r="G3" s="12" t="s">
        <v>27</v>
      </c>
      <c r="H3" s="23" t="s">
        <v>28</v>
      </c>
      <c r="I3" s="25">
        <v>6</v>
      </c>
      <c r="J3" s="21">
        <v>3</v>
      </c>
      <c r="K3" s="69" t="s">
        <v>231</v>
      </c>
      <c r="M3" s="4"/>
    </row>
    <row r="4" spans="1:14" ht="30" customHeight="1" x14ac:dyDescent="0.25">
      <c r="A4" s="20" t="s">
        <v>226</v>
      </c>
      <c r="B4" s="11" t="s">
        <v>227</v>
      </c>
      <c r="C4" s="11" t="s">
        <v>228</v>
      </c>
      <c r="D4" s="21" t="s">
        <v>17</v>
      </c>
      <c r="E4" s="22" t="s">
        <v>232</v>
      </c>
      <c r="F4" s="11" t="s">
        <v>233</v>
      </c>
      <c r="G4" s="12" t="s">
        <v>27</v>
      </c>
      <c r="H4" s="23" t="s">
        <v>31</v>
      </c>
      <c r="I4" s="25">
        <v>6</v>
      </c>
      <c r="J4" s="21">
        <v>4</v>
      </c>
      <c r="K4" s="69" t="s">
        <v>231</v>
      </c>
      <c r="M4" s="4"/>
    </row>
    <row r="5" spans="1:14" ht="30" customHeight="1" x14ac:dyDescent="0.25">
      <c r="A5" s="20" t="s">
        <v>226</v>
      </c>
      <c r="B5" s="11" t="s">
        <v>227</v>
      </c>
      <c r="C5" s="11" t="s">
        <v>228</v>
      </c>
      <c r="D5" s="21" t="s">
        <v>17</v>
      </c>
      <c r="E5" s="22" t="s">
        <v>234</v>
      </c>
      <c r="F5" s="11" t="s">
        <v>235</v>
      </c>
      <c r="G5" s="12" t="s">
        <v>20</v>
      </c>
      <c r="H5" s="23" t="s">
        <v>17</v>
      </c>
      <c r="I5" s="25">
        <v>8</v>
      </c>
      <c r="J5" s="21">
        <v>0</v>
      </c>
      <c r="K5" s="69" t="s">
        <v>236</v>
      </c>
      <c r="M5" s="4"/>
    </row>
    <row r="6" spans="1:14" ht="30" customHeight="1" x14ac:dyDescent="0.25">
      <c r="A6" s="82" t="s">
        <v>226</v>
      </c>
      <c r="B6" s="83" t="s">
        <v>227</v>
      </c>
      <c r="C6" s="83" t="s">
        <v>228</v>
      </c>
      <c r="D6" s="84" t="s">
        <v>17</v>
      </c>
      <c r="E6" s="82" t="s">
        <v>237</v>
      </c>
      <c r="F6" s="83" t="s">
        <v>238</v>
      </c>
      <c r="G6" s="85" t="s">
        <v>20</v>
      </c>
      <c r="H6" s="84" t="s">
        <v>17</v>
      </c>
      <c r="I6" s="86">
        <v>8</v>
      </c>
      <c r="J6" s="84">
        <v>1</v>
      </c>
      <c r="K6" s="88" t="s">
        <v>236</v>
      </c>
      <c r="M6" s="4"/>
    </row>
    <row r="7" spans="1:14" ht="30" customHeight="1" x14ac:dyDescent="0.25">
      <c r="A7" s="82" t="s">
        <v>239</v>
      </c>
      <c r="B7" s="83" t="s">
        <v>240</v>
      </c>
      <c r="C7" s="83" t="s">
        <v>241</v>
      </c>
      <c r="D7" s="84" t="s">
        <v>17</v>
      </c>
      <c r="E7" s="82" t="s">
        <v>242</v>
      </c>
      <c r="F7" s="83" t="s">
        <v>243</v>
      </c>
      <c r="G7" s="85" t="s">
        <v>112</v>
      </c>
      <c r="H7" s="84" t="s">
        <v>113</v>
      </c>
      <c r="I7" s="86">
        <v>1</v>
      </c>
      <c r="J7" s="84">
        <v>3</v>
      </c>
      <c r="K7" s="87" t="s">
        <v>244</v>
      </c>
      <c r="M7" s="4"/>
    </row>
    <row r="8" spans="1:14" ht="30" customHeight="1" x14ac:dyDescent="0.25">
      <c r="A8" s="82" t="s">
        <v>239</v>
      </c>
      <c r="B8" s="83" t="s">
        <v>240</v>
      </c>
      <c r="C8" s="83" t="s">
        <v>241</v>
      </c>
      <c r="D8" s="84" t="s">
        <v>17</v>
      </c>
      <c r="E8" s="82" t="s">
        <v>245</v>
      </c>
      <c r="F8" s="83" t="s">
        <v>246</v>
      </c>
      <c r="G8" s="85" t="s">
        <v>24</v>
      </c>
      <c r="H8" s="84" t="s">
        <v>17</v>
      </c>
      <c r="I8" s="86">
        <v>5</v>
      </c>
      <c r="J8" s="84">
        <v>4</v>
      </c>
      <c r="K8" s="87" t="s">
        <v>247</v>
      </c>
      <c r="M8" s="4"/>
    </row>
    <row r="9" spans="1:14" ht="34.9" customHeight="1" x14ac:dyDescent="0.25">
      <c r="A9" s="82" t="s">
        <v>239</v>
      </c>
      <c r="B9" s="83" t="s">
        <v>240</v>
      </c>
      <c r="C9" s="83" t="s">
        <v>241</v>
      </c>
      <c r="D9" s="84" t="s">
        <v>17</v>
      </c>
      <c r="E9" s="82" t="s">
        <v>248</v>
      </c>
      <c r="F9" s="83" t="s">
        <v>249</v>
      </c>
      <c r="G9" s="85" t="s">
        <v>27</v>
      </c>
      <c r="H9" s="84" t="s">
        <v>28</v>
      </c>
      <c r="I9" s="86">
        <v>7</v>
      </c>
      <c r="J9" s="84">
        <v>6</v>
      </c>
      <c r="K9" s="87" t="s">
        <v>250</v>
      </c>
      <c r="M9" s="4"/>
    </row>
    <row r="10" spans="1:14" s="93" customFormat="1" ht="30" customHeight="1" x14ac:dyDescent="0.25">
      <c r="A10" s="82" t="s">
        <v>239</v>
      </c>
      <c r="B10" s="83" t="s">
        <v>240</v>
      </c>
      <c r="C10" s="83" t="s">
        <v>241</v>
      </c>
      <c r="D10" s="84" t="s">
        <v>17</v>
      </c>
      <c r="E10" s="82" t="s">
        <v>251</v>
      </c>
      <c r="F10" s="83" t="s">
        <v>252</v>
      </c>
      <c r="G10" s="85" t="s">
        <v>27</v>
      </c>
      <c r="H10" s="84" t="s">
        <v>31</v>
      </c>
      <c r="I10" s="86">
        <v>7</v>
      </c>
      <c r="J10" s="84">
        <v>7</v>
      </c>
      <c r="K10" s="87" t="s">
        <v>253</v>
      </c>
    </row>
    <row r="11" spans="1:14" ht="30" customHeight="1" x14ac:dyDescent="0.25">
      <c r="A11" s="82" t="s">
        <v>239</v>
      </c>
      <c r="B11" s="83" t="s">
        <v>240</v>
      </c>
      <c r="C11" s="83" t="s">
        <v>254</v>
      </c>
      <c r="D11" s="84" t="s">
        <v>17</v>
      </c>
      <c r="E11" s="82" t="s">
        <v>255</v>
      </c>
      <c r="F11" s="83" t="s">
        <v>256</v>
      </c>
      <c r="G11" s="85" t="s">
        <v>20</v>
      </c>
      <c r="H11" s="84" t="s">
        <v>17</v>
      </c>
      <c r="I11" s="86">
        <v>8</v>
      </c>
      <c r="J11" s="84">
        <v>7</v>
      </c>
      <c r="K11" s="87" t="s">
        <v>257</v>
      </c>
    </row>
    <row r="12" spans="1:14" ht="25.15" customHeight="1" x14ac:dyDescent="0.25">
      <c r="A12" s="82" t="s">
        <v>258</v>
      </c>
      <c r="B12" s="83" t="s">
        <v>240</v>
      </c>
      <c r="C12" s="83" t="s">
        <v>254</v>
      </c>
      <c r="D12" s="84" t="s">
        <v>17</v>
      </c>
      <c r="E12" s="82" t="s">
        <v>259</v>
      </c>
      <c r="F12" s="83" t="s">
        <v>260</v>
      </c>
      <c r="G12" s="85" t="s">
        <v>112</v>
      </c>
      <c r="H12" s="84" t="s">
        <v>113</v>
      </c>
      <c r="I12" s="86">
        <v>1</v>
      </c>
      <c r="J12" s="84">
        <v>4</v>
      </c>
      <c r="K12" s="87" t="s">
        <v>244</v>
      </c>
      <c r="M12" s="4"/>
    </row>
    <row r="13" spans="1:14" ht="30" customHeight="1" x14ac:dyDescent="0.25">
      <c r="A13" s="82" t="s">
        <v>258</v>
      </c>
      <c r="B13" s="83" t="s">
        <v>240</v>
      </c>
      <c r="C13" s="83" t="s">
        <v>254</v>
      </c>
      <c r="D13" s="84" t="s">
        <v>17</v>
      </c>
      <c r="E13" s="82" t="s">
        <v>261</v>
      </c>
      <c r="F13" s="83" t="s">
        <v>262</v>
      </c>
      <c r="G13" s="85" t="s">
        <v>24</v>
      </c>
      <c r="H13" s="84" t="s">
        <v>17</v>
      </c>
      <c r="I13" s="86">
        <v>5</v>
      </c>
      <c r="J13" s="84">
        <v>5</v>
      </c>
      <c r="K13" s="87" t="s">
        <v>247</v>
      </c>
      <c r="M13" s="4"/>
    </row>
    <row r="14" spans="1:14" ht="30" customHeight="1" x14ac:dyDescent="0.25">
      <c r="A14" s="82" t="s">
        <v>258</v>
      </c>
      <c r="B14" s="83" t="s">
        <v>240</v>
      </c>
      <c r="C14" s="83" t="s">
        <v>254</v>
      </c>
      <c r="D14" s="84" t="s">
        <v>17</v>
      </c>
      <c r="E14" s="82" t="s">
        <v>263</v>
      </c>
      <c r="F14" s="83" t="s">
        <v>264</v>
      </c>
      <c r="G14" s="85" t="s">
        <v>27</v>
      </c>
      <c r="H14" s="84" t="s">
        <v>28</v>
      </c>
      <c r="I14" s="86">
        <v>7</v>
      </c>
      <c r="J14" s="84">
        <v>8</v>
      </c>
      <c r="K14" s="87" t="s">
        <v>250</v>
      </c>
      <c r="M14" s="4"/>
    </row>
    <row r="15" spans="1:14" ht="30" customHeight="1" x14ac:dyDescent="0.25">
      <c r="A15" s="82" t="s">
        <v>258</v>
      </c>
      <c r="B15" s="83" t="s">
        <v>240</v>
      </c>
      <c r="C15" s="83" t="s">
        <v>254</v>
      </c>
      <c r="D15" s="84" t="s">
        <v>17</v>
      </c>
      <c r="E15" s="82" t="s">
        <v>265</v>
      </c>
      <c r="F15" s="83" t="s">
        <v>266</v>
      </c>
      <c r="G15" s="85" t="s">
        <v>27</v>
      </c>
      <c r="H15" s="84" t="s">
        <v>31</v>
      </c>
      <c r="I15" s="86">
        <v>7</v>
      </c>
      <c r="J15" s="84">
        <v>9</v>
      </c>
      <c r="K15" s="87" t="s">
        <v>253</v>
      </c>
      <c r="M15" s="4"/>
    </row>
    <row r="16" spans="1:14" ht="30" customHeight="1" x14ac:dyDescent="0.25">
      <c r="A16" s="82" t="s">
        <v>258</v>
      </c>
      <c r="B16" s="83" t="s">
        <v>240</v>
      </c>
      <c r="C16" s="83" t="s">
        <v>254</v>
      </c>
      <c r="D16" s="84" t="s">
        <v>17</v>
      </c>
      <c r="E16" s="82" t="s">
        <v>267</v>
      </c>
      <c r="F16" s="83" t="s">
        <v>268</v>
      </c>
      <c r="G16" s="85" t="s">
        <v>20</v>
      </c>
      <c r="H16" s="84" t="s">
        <v>17</v>
      </c>
      <c r="I16" s="86">
        <v>8</v>
      </c>
      <c r="J16" s="84">
        <v>8</v>
      </c>
      <c r="K16" s="87" t="s">
        <v>257</v>
      </c>
    </row>
    <row r="17" spans="1:13" ht="30" x14ac:dyDescent="0.25">
      <c r="A17" s="20" t="s">
        <v>269</v>
      </c>
      <c r="B17" s="11" t="s">
        <v>270</v>
      </c>
      <c r="C17" s="11" t="s">
        <v>271</v>
      </c>
      <c r="D17" s="21" t="s">
        <v>17</v>
      </c>
      <c r="E17" s="22" t="s">
        <v>272</v>
      </c>
      <c r="F17" s="11" t="s">
        <v>273</v>
      </c>
      <c r="G17" s="12" t="s">
        <v>20</v>
      </c>
      <c r="H17" s="23" t="s">
        <v>17</v>
      </c>
      <c r="I17" s="25">
        <v>8</v>
      </c>
      <c r="J17" s="21">
        <v>2</v>
      </c>
      <c r="K17" s="69" t="s">
        <v>274</v>
      </c>
      <c r="M17" s="4"/>
    </row>
    <row r="18" spans="1:13" ht="30.6" customHeight="1" x14ac:dyDescent="0.25">
      <c r="A18" s="20" t="s">
        <v>269</v>
      </c>
      <c r="B18" s="11" t="s">
        <v>270</v>
      </c>
      <c r="C18" s="11" t="s">
        <v>271</v>
      </c>
      <c r="D18" s="21" t="s">
        <v>17</v>
      </c>
      <c r="E18" s="22" t="s">
        <v>275</v>
      </c>
      <c r="F18" s="11" t="s">
        <v>276</v>
      </c>
      <c r="G18" s="12" t="s">
        <v>27</v>
      </c>
      <c r="H18" s="23" t="s">
        <v>28</v>
      </c>
      <c r="I18" s="25">
        <v>6</v>
      </c>
      <c r="J18" s="21">
        <v>5</v>
      </c>
      <c r="K18" s="69" t="s">
        <v>247</v>
      </c>
      <c r="M18" s="4"/>
    </row>
    <row r="19" spans="1:13" ht="33" customHeight="1" x14ac:dyDescent="0.25">
      <c r="A19" s="20" t="s">
        <v>269</v>
      </c>
      <c r="B19" s="11" t="s">
        <v>270</v>
      </c>
      <c r="C19" s="11" t="s">
        <v>271</v>
      </c>
      <c r="D19" s="21" t="s">
        <v>17</v>
      </c>
      <c r="E19" s="22" t="s">
        <v>277</v>
      </c>
      <c r="F19" s="11" t="s">
        <v>278</v>
      </c>
      <c r="G19" s="12" t="s">
        <v>27</v>
      </c>
      <c r="H19" s="23" t="s">
        <v>31</v>
      </c>
      <c r="I19" s="25">
        <v>6</v>
      </c>
      <c r="J19" s="21">
        <v>6</v>
      </c>
      <c r="K19" s="69" t="s">
        <v>247</v>
      </c>
      <c r="M19" s="4"/>
    </row>
    <row r="20" spans="1:13" ht="30" customHeight="1" x14ac:dyDescent="0.25">
      <c r="A20" s="82" t="s">
        <v>279</v>
      </c>
      <c r="B20" s="83" t="s">
        <v>280</v>
      </c>
      <c r="C20" s="83" t="s">
        <v>281</v>
      </c>
      <c r="D20" s="84" t="s">
        <v>17</v>
      </c>
      <c r="E20" s="82" t="s">
        <v>282</v>
      </c>
      <c r="F20" s="83" t="s">
        <v>283</v>
      </c>
      <c r="G20" s="85" t="s">
        <v>27</v>
      </c>
      <c r="H20" s="84" t="s">
        <v>31</v>
      </c>
      <c r="I20" s="86">
        <v>6</v>
      </c>
      <c r="J20" s="84">
        <v>12</v>
      </c>
      <c r="K20" s="87" t="s">
        <v>284</v>
      </c>
      <c r="M20" s="4"/>
    </row>
    <row r="21" spans="1:13" ht="30" customHeight="1" x14ac:dyDescent="0.25">
      <c r="A21" s="82" t="s">
        <v>279</v>
      </c>
      <c r="B21" s="83" t="s">
        <v>280</v>
      </c>
      <c r="C21" s="83" t="s">
        <v>281</v>
      </c>
      <c r="D21" s="84" t="s">
        <v>17</v>
      </c>
      <c r="E21" s="82" t="s">
        <v>285</v>
      </c>
      <c r="F21" s="83" t="s">
        <v>286</v>
      </c>
      <c r="G21" s="85" t="s">
        <v>27</v>
      </c>
      <c r="H21" s="84" t="s">
        <v>31</v>
      </c>
      <c r="I21" s="86">
        <v>6</v>
      </c>
      <c r="J21" s="84">
        <v>13</v>
      </c>
      <c r="K21" s="87" t="s">
        <v>284</v>
      </c>
      <c r="M21" s="4"/>
    </row>
    <row r="22" spans="1:13" ht="39" customHeight="1" x14ac:dyDescent="0.25">
      <c r="A22" s="18" t="s">
        <v>287</v>
      </c>
      <c r="B22" s="3" t="s">
        <v>15</v>
      </c>
      <c r="C22" s="3" t="s">
        <v>288</v>
      </c>
      <c r="D22" s="19" t="s">
        <v>17</v>
      </c>
      <c r="E22" s="18" t="s">
        <v>289</v>
      </c>
      <c r="F22" s="3" t="s">
        <v>290</v>
      </c>
      <c r="G22" s="6" t="s">
        <v>20</v>
      </c>
      <c r="H22" s="19" t="s">
        <v>17</v>
      </c>
      <c r="I22" s="24">
        <v>8</v>
      </c>
      <c r="J22" s="19">
        <v>4</v>
      </c>
      <c r="K22" s="69" t="s">
        <v>291</v>
      </c>
      <c r="M22" s="4"/>
    </row>
    <row r="23" spans="1:13" ht="38.450000000000003" customHeight="1" x14ac:dyDescent="0.25">
      <c r="A23" s="18" t="s">
        <v>287</v>
      </c>
      <c r="B23" s="3" t="s">
        <v>15</v>
      </c>
      <c r="C23" s="3" t="s">
        <v>288</v>
      </c>
      <c r="D23" s="19" t="s">
        <v>17</v>
      </c>
      <c r="E23" s="18" t="s">
        <v>292</v>
      </c>
      <c r="F23" s="3" t="s">
        <v>293</v>
      </c>
      <c r="G23" s="6" t="s">
        <v>112</v>
      </c>
      <c r="H23" s="19" t="s">
        <v>38</v>
      </c>
      <c r="I23" s="24">
        <v>1</v>
      </c>
      <c r="J23" s="19">
        <v>0</v>
      </c>
      <c r="K23" s="69" t="s">
        <v>294</v>
      </c>
      <c r="M23" s="4"/>
    </row>
    <row r="24" spans="1:13" ht="48" customHeight="1" x14ac:dyDescent="0.25">
      <c r="A24" s="18" t="s">
        <v>287</v>
      </c>
      <c r="B24" s="3" t="s">
        <v>15</v>
      </c>
      <c r="C24" s="3" t="s">
        <v>288</v>
      </c>
      <c r="D24" s="19" t="s">
        <v>17</v>
      </c>
      <c r="E24" s="18" t="s">
        <v>295</v>
      </c>
      <c r="F24" s="3" t="s">
        <v>296</v>
      </c>
      <c r="G24" s="6" t="s">
        <v>24</v>
      </c>
      <c r="H24" s="19" t="s">
        <v>17</v>
      </c>
      <c r="I24" s="24">
        <v>5</v>
      </c>
      <c r="J24" s="19">
        <v>0</v>
      </c>
      <c r="K24" s="69" t="s">
        <v>297</v>
      </c>
      <c r="M24" s="4"/>
    </row>
    <row r="25" spans="1:13" ht="30" customHeight="1" x14ac:dyDescent="0.25">
      <c r="A25" s="18" t="s">
        <v>287</v>
      </c>
      <c r="B25" s="3" t="s">
        <v>15</v>
      </c>
      <c r="C25" s="3" t="s">
        <v>288</v>
      </c>
      <c r="D25" s="19" t="s">
        <v>17</v>
      </c>
      <c r="E25" s="18" t="s">
        <v>298</v>
      </c>
      <c r="F25" s="3" t="s">
        <v>299</v>
      </c>
      <c r="G25" s="6" t="s">
        <v>27</v>
      </c>
      <c r="H25" s="19" t="s">
        <v>28</v>
      </c>
      <c r="I25" s="24">
        <v>6</v>
      </c>
      <c r="J25" s="19">
        <v>9</v>
      </c>
      <c r="K25" s="27" t="s">
        <v>250</v>
      </c>
      <c r="M25" s="4"/>
    </row>
    <row r="26" spans="1:13" ht="30" customHeight="1" x14ac:dyDescent="0.25">
      <c r="A26" s="18" t="s">
        <v>287</v>
      </c>
      <c r="B26" s="3" t="s">
        <v>15</v>
      </c>
      <c r="C26" s="3" t="s">
        <v>288</v>
      </c>
      <c r="D26" s="19" t="s">
        <v>17</v>
      </c>
      <c r="E26" s="18" t="s">
        <v>300</v>
      </c>
      <c r="F26" s="3" t="s">
        <v>301</v>
      </c>
      <c r="G26" s="71" t="s">
        <v>27</v>
      </c>
      <c r="H26" s="19" t="s">
        <v>17</v>
      </c>
      <c r="I26" s="24">
        <v>6</v>
      </c>
      <c r="J26" s="19">
        <v>10</v>
      </c>
      <c r="K26" s="72" t="s">
        <v>302</v>
      </c>
      <c r="M26" s="4"/>
    </row>
    <row r="27" spans="1:13" ht="30" customHeight="1" x14ac:dyDescent="0.25">
      <c r="A27" s="18" t="s">
        <v>287</v>
      </c>
      <c r="B27" s="3" t="s">
        <v>15</v>
      </c>
      <c r="C27" s="3" t="s">
        <v>288</v>
      </c>
      <c r="D27" s="19" t="s">
        <v>17</v>
      </c>
      <c r="E27" s="18" t="s">
        <v>303</v>
      </c>
      <c r="F27" s="3" t="s">
        <v>304</v>
      </c>
      <c r="G27" s="6" t="s">
        <v>27</v>
      </c>
      <c r="H27" s="19" t="s">
        <v>31</v>
      </c>
      <c r="I27" s="24">
        <v>6</v>
      </c>
      <c r="J27" s="19">
        <v>11</v>
      </c>
      <c r="K27" s="27" t="s">
        <v>305</v>
      </c>
      <c r="M27" s="4"/>
    </row>
    <row r="28" spans="1:13" ht="30" customHeight="1" x14ac:dyDescent="0.25">
      <c r="A28" s="20" t="s">
        <v>306</v>
      </c>
      <c r="B28" s="11" t="s">
        <v>214</v>
      </c>
      <c r="C28" s="11" t="s">
        <v>215</v>
      </c>
      <c r="D28" s="21" t="s">
        <v>17</v>
      </c>
      <c r="E28" s="22" t="s">
        <v>306</v>
      </c>
      <c r="F28" s="11" t="s">
        <v>217</v>
      </c>
      <c r="G28" s="12" t="s">
        <v>27</v>
      </c>
      <c r="H28" s="23" t="s">
        <v>43</v>
      </c>
      <c r="I28" s="25">
        <v>6</v>
      </c>
      <c r="J28" s="21">
        <v>0</v>
      </c>
      <c r="K28" s="28" t="s">
        <v>307</v>
      </c>
      <c r="M28" s="4"/>
    </row>
    <row r="29" spans="1:13" ht="27.75" customHeight="1" x14ac:dyDescent="0.25">
      <c r="A29" s="20" t="s">
        <v>308</v>
      </c>
      <c r="B29" s="11" t="s">
        <v>220</v>
      </c>
      <c r="C29" s="11" t="s">
        <v>309</v>
      </c>
      <c r="D29" s="21" t="s">
        <v>17</v>
      </c>
      <c r="E29" s="22" t="s">
        <v>308</v>
      </c>
      <c r="F29" s="11" t="s">
        <v>310</v>
      </c>
      <c r="G29" s="12" t="s">
        <v>27</v>
      </c>
      <c r="H29" s="23" t="s">
        <v>43</v>
      </c>
      <c r="I29" s="25">
        <v>6</v>
      </c>
      <c r="J29" s="21">
        <v>2</v>
      </c>
      <c r="K29" s="28" t="s">
        <v>311</v>
      </c>
      <c r="M29" s="4"/>
    </row>
    <row r="30" spans="1:13" ht="30" customHeight="1" x14ac:dyDescent="0.25">
      <c r="A30" s="20" t="s">
        <v>312</v>
      </c>
      <c r="B30" s="11" t="s">
        <v>220</v>
      </c>
      <c r="C30" s="11" t="s">
        <v>221</v>
      </c>
      <c r="D30" s="21" t="s">
        <v>17</v>
      </c>
      <c r="E30" s="22" t="s">
        <v>312</v>
      </c>
      <c r="F30" s="11" t="s">
        <v>223</v>
      </c>
      <c r="G30" s="12" t="s">
        <v>27</v>
      </c>
      <c r="H30" s="23" t="s">
        <v>43</v>
      </c>
      <c r="I30" s="25">
        <v>6</v>
      </c>
      <c r="J30" s="21">
        <v>1</v>
      </c>
      <c r="K30" s="28" t="s">
        <v>307</v>
      </c>
      <c r="M30" s="4"/>
    </row>
    <row r="31" spans="1:13" ht="30" customHeight="1" x14ac:dyDescent="0.25">
      <c r="A31" s="22" t="s">
        <v>313</v>
      </c>
      <c r="B31" s="11" t="s">
        <v>314</v>
      </c>
      <c r="C31" s="11" t="s">
        <v>315</v>
      </c>
      <c r="D31" s="23" t="s">
        <v>17</v>
      </c>
      <c r="E31" s="22" t="s">
        <v>316</v>
      </c>
      <c r="F31" s="11" t="s">
        <v>317</v>
      </c>
      <c r="G31" s="12" t="s">
        <v>112</v>
      </c>
      <c r="H31" s="23" t="s">
        <v>113</v>
      </c>
      <c r="I31" s="70">
        <v>1</v>
      </c>
      <c r="J31" s="23">
        <v>7</v>
      </c>
      <c r="K31" s="69" t="s">
        <v>318</v>
      </c>
      <c r="M31" s="4"/>
    </row>
    <row r="32" spans="1:13" ht="30" customHeight="1" x14ac:dyDescent="0.25">
      <c r="A32" s="82" t="s">
        <v>313</v>
      </c>
      <c r="B32" s="83" t="s">
        <v>314</v>
      </c>
      <c r="C32" s="83" t="s">
        <v>315</v>
      </c>
      <c r="D32" s="84" t="s">
        <v>17</v>
      </c>
      <c r="E32" s="82" t="s">
        <v>319</v>
      </c>
      <c r="F32" s="83" t="s">
        <v>320</v>
      </c>
      <c r="G32" s="85" t="s">
        <v>24</v>
      </c>
      <c r="H32" s="84" t="s">
        <v>17</v>
      </c>
      <c r="I32" s="86">
        <v>5</v>
      </c>
      <c r="J32" s="84">
        <v>6</v>
      </c>
      <c r="K32" s="88" t="s">
        <v>321</v>
      </c>
      <c r="M32" s="4"/>
    </row>
    <row r="33" spans="1:13" s="92" customFormat="1" ht="30" customHeight="1" x14ac:dyDescent="0.25">
      <c r="A33" s="20" t="s">
        <v>322</v>
      </c>
      <c r="B33" s="11" t="s">
        <v>323</v>
      </c>
      <c r="C33" s="11" t="s">
        <v>324</v>
      </c>
      <c r="D33" s="21" t="s">
        <v>17</v>
      </c>
      <c r="E33" s="22" t="s">
        <v>325</v>
      </c>
      <c r="F33" s="11" t="s">
        <v>326</v>
      </c>
      <c r="G33" s="12" t="s">
        <v>24</v>
      </c>
      <c r="H33" s="23" t="s">
        <v>17</v>
      </c>
      <c r="I33" s="25">
        <v>5</v>
      </c>
      <c r="J33" s="21">
        <v>3</v>
      </c>
      <c r="K33" s="28" t="s">
        <v>247</v>
      </c>
    </row>
    <row r="34" spans="1:13" s="92" customFormat="1" ht="30" customHeight="1" x14ac:dyDescent="0.25">
      <c r="A34" s="20" t="s">
        <v>322</v>
      </c>
      <c r="B34" s="11" t="s">
        <v>323</v>
      </c>
      <c r="C34" s="11" t="s">
        <v>324</v>
      </c>
      <c r="D34" s="21" t="s">
        <v>17</v>
      </c>
      <c r="E34" s="22" t="s">
        <v>327</v>
      </c>
      <c r="F34" s="11" t="s">
        <v>328</v>
      </c>
      <c r="G34" s="12" t="s">
        <v>27</v>
      </c>
      <c r="H34" s="23" t="s">
        <v>52</v>
      </c>
      <c r="I34" s="25">
        <v>6</v>
      </c>
      <c r="J34" s="21">
        <v>14</v>
      </c>
      <c r="K34" s="28" t="s">
        <v>329</v>
      </c>
    </row>
    <row r="35" spans="1:13" ht="30" customHeight="1" x14ac:dyDescent="0.25">
      <c r="A35" s="20" t="s">
        <v>322</v>
      </c>
      <c r="B35" s="11" t="s">
        <v>323</v>
      </c>
      <c r="C35" s="11" t="s">
        <v>324</v>
      </c>
      <c r="D35" s="21" t="s">
        <v>17</v>
      </c>
      <c r="E35" s="22" t="s">
        <v>330</v>
      </c>
      <c r="F35" s="11" t="s">
        <v>331</v>
      </c>
      <c r="G35" s="12" t="s">
        <v>27</v>
      </c>
      <c r="H35" s="23" t="s">
        <v>49</v>
      </c>
      <c r="I35" s="25">
        <v>6</v>
      </c>
      <c r="J35" s="21">
        <v>15</v>
      </c>
      <c r="K35" s="28" t="s">
        <v>332</v>
      </c>
      <c r="M35" s="4"/>
    </row>
    <row r="36" spans="1:13" ht="30" customHeight="1" x14ac:dyDescent="0.25">
      <c r="A36" s="20" t="s">
        <v>333</v>
      </c>
      <c r="B36" s="11" t="s">
        <v>323</v>
      </c>
      <c r="C36" s="11" t="s">
        <v>334</v>
      </c>
      <c r="D36" s="21" t="s">
        <v>43</v>
      </c>
      <c r="E36" s="22" t="s">
        <v>335</v>
      </c>
      <c r="F36" s="11" t="s">
        <v>336</v>
      </c>
      <c r="G36" s="12" t="s">
        <v>27</v>
      </c>
      <c r="H36" s="23" t="s">
        <v>52</v>
      </c>
      <c r="I36" s="25">
        <v>7</v>
      </c>
      <c r="J36" s="21">
        <v>10</v>
      </c>
      <c r="K36" s="28" t="s">
        <v>329</v>
      </c>
      <c r="M36" s="4"/>
    </row>
    <row r="37" spans="1:13" ht="30" customHeight="1" x14ac:dyDescent="0.25">
      <c r="A37" s="20" t="s">
        <v>333</v>
      </c>
      <c r="B37" s="11" t="s">
        <v>323</v>
      </c>
      <c r="C37" s="11" t="s">
        <v>334</v>
      </c>
      <c r="D37" s="21" t="s">
        <v>43</v>
      </c>
      <c r="E37" s="22" t="s">
        <v>337</v>
      </c>
      <c r="F37" s="11" t="s">
        <v>338</v>
      </c>
      <c r="G37" s="12" t="s">
        <v>27</v>
      </c>
      <c r="H37" s="23" t="s">
        <v>49</v>
      </c>
      <c r="I37" s="25">
        <v>7</v>
      </c>
      <c r="J37" s="21">
        <v>11</v>
      </c>
      <c r="K37" s="28" t="s">
        <v>332</v>
      </c>
      <c r="M37" s="4"/>
    </row>
    <row r="38" spans="1:13" ht="30" customHeight="1" x14ac:dyDescent="0.25">
      <c r="A38" s="20" t="s">
        <v>333</v>
      </c>
      <c r="B38" s="11" t="s">
        <v>323</v>
      </c>
      <c r="C38" s="11" t="s">
        <v>334</v>
      </c>
      <c r="D38" s="21" t="s">
        <v>43</v>
      </c>
      <c r="E38" s="22" t="s">
        <v>339</v>
      </c>
      <c r="F38" s="11" t="s">
        <v>340</v>
      </c>
      <c r="G38" s="12" t="s">
        <v>20</v>
      </c>
      <c r="H38" s="23" t="s">
        <v>17</v>
      </c>
      <c r="I38" s="25">
        <v>8</v>
      </c>
      <c r="J38" s="21">
        <v>9</v>
      </c>
      <c r="K38" s="28" t="s">
        <v>341</v>
      </c>
      <c r="M38" s="4"/>
    </row>
    <row r="39" spans="1:13" ht="30" customHeight="1" x14ac:dyDescent="0.25">
      <c r="A39" s="20" t="s">
        <v>333</v>
      </c>
      <c r="B39" s="11" t="s">
        <v>323</v>
      </c>
      <c r="C39" s="11" t="s">
        <v>334</v>
      </c>
      <c r="D39" s="21" t="s">
        <v>43</v>
      </c>
      <c r="E39" s="22" t="s">
        <v>342</v>
      </c>
      <c r="F39" s="11" t="s">
        <v>343</v>
      </c>
      <c r="G39" s="12" t="s">
        <v>20</v>
      </c>
      <c r="H39" s="23" t="s">
        <v>17</v>
      </c>
      <c r="I39" s="25">
        <v>8</v>
      </c>
      <c r="J39" s="21">
        <v>10</v>
      </c>
      <c r="K39" s="28" t="s">
        <v>341</v>
      </c>
      <c r="M39" s="4"/>
    </row>
    <row r="40" spans="1:13" ht="30" customHeight="1" x14ac:dyDescent="0.25">
      <c r="A40" s="20" t="s">
        <v>344</v>
      </c>
      <c r="B40" s="11" t="s">
        <v>323</v>
      </c>
      <c r="C40" s="11" t="s">
        <v>345</v>
      </c>
      <c r="D40" s="21" t="s">
        <v>43</v>
      </c>
      <c r="E40" s="22" t="s">
        <v>346</v>
      </c>
      <c r="F40" s="11" t="s">
        <v>347</v>
      </c>
      <c r="G40" s="12" t="s">
        <v>27</v>
      </c>
      <c r="H40" s="23" t="s">
        <v>52</v>
      </c>
      <c r="I40" s="25">
        <v>7</v>
      </c>
      <c r="J40" s="21">
        <v>12</v>
      </c>
      <c r="K40" s="28" t="s">
        <v>329</v>
      </c>
      <c r="M40" s="4"/>
    </row>
    <row r="41" spans="1:13" ht="30" customHeight="1" x14ac:dyDescent="0.25">
      <c r="A41" s="20" t="s">
        <v>344</v>
      </c>
      <c r="B41" s="11" t="s">
        <v>323</v>
      </c>
      <c r="C41" s="11" t="s">
        <v>345</v>
      </c>
      <c r="D41" s="21" t="s">
        <v>43</v>
      </c>
      <c r="E41" s="22" t="s">
        <v>348</v>
      </c>
      <c r="F41" s="11" t="s">
        <v>349</v>
      </c>
      <c r="G41" s="12" t="s">
        <v>27</v>
      </c>
      <c r="H41" s="23" t="s">
        <v>49</v>
      </c>
      <c r="I41" s="25">
        <v>7</v>
      </c>
      <c r="J41" s="21">
        <v>13</v>
      </c>
      <c r="K41" s="28" t="s">
        <v>332</v>
      </c>
      <c r="M41" s="4"/>
    </row>
    <row r="42" spans="1:13" ht="30" customHeight="1" x14ac:dyDescent="0.25">
      <c r="A42" s="20" t="s">
        <v>344</v>
      </c>
      <c r="B42" s="11" t="s">
        <v>323</v>
      </c>
      <c r="C42" s="11" t="s">
        <v>345</v>
      </c>
      <c r="D42" s="21" t="s">
        <v>43</v>
      </c>
      <c r="E42" s="22" t="s">
        <v>350</v>
      </c>
      <c r="F42" s="11" t="s">
        <v>351</v>
      </c>
      <c r="G42" s="12" t="s">
        <v>20</v>
      </c>
      <c r="H42" s="23" t="s">
        <v>17</v>
      </c>
      <c r="I42" s="25">
        <v>8</v>
      </c>
      <c r="J42" s="21">
        <v>11</v>
      </c>
      <c r="K42" s="28" t="s">
        <v>341</v>
      </c>
      <c r="M42" s="4"/>
    </row>
    <row r="43" spans="1:13" ht="30" customHeight="1" x14ac:dyDescent="0.25">
      <c r="A43" s="20" t="s">
        <v>344</v>
      </c>
      <c r="B43" s="11" t="s">
        <v>323</v>
      </c>
      <c r="C43" s="11" t="s">
        <v>345</v>
      </c>
      <c r="D43" s="21" t="s">
        <v>43</v>
      </c>
      <c r="E43" s="22" t="s">
        <v>352</v>
      </c>
      <c r="F43" s="11" t="s">
        <v>353</v>
      </c>
      <c r="G43" s="12" t="s">
        <v>20</v>
      </c>
      <c r="H43" s="23" t="s">
        <v>17</v>
      </c>
      <c r="I43" s="25">
        <v>8</v>
      </c>
      <c r="J43" s="21">
        <v>12</v>
      </c>
      <c r="K43" s="28" t="s">
        <v>341</v>
      </c>
      <c r="M43" s="4"/>
    </row>
    <row r="44" spans="1:13" ht="30" customHeight="1" x14ac:dyDescent="0.25">
      <c r="A44" s="20" t="s">
        <v>354</v>
      </c>
      <c r="B44" s="11" t="s">
        <v>355</v>
      </c>
      <c r="C44" s="11" t="s">
        <v>356</v>
      </c>
      <c r="D44" s="21" t="s">
        <v>17</v>
      </c>
      <c r="E44" s="22" t="s">
        <v>357</v>
      </c>
      <c r="F44" s="11" t="s">
        <v>358</v>
      </c>
      <c r="G44" s="12" t="s">
        <v>20</v>
      </c>
      <c r="H44" s="23" t="s">
        <v>17</v>
      </c>
      <c r="I44" s="25">
        <v>8</v>
      </c>
      <c r="J44" s="21">
        <v>3</v>
      </c>
      <c r="K44" s="65" t="s">
        <v>341</v>
      </c>
      <c r="M44" s="4"/>
    </row>
    <row r="45" spans="1:13" ht="30" customHeight="1" x14ac:dyDescent="0.25">
      <c r="A45" s="20" t="s">
        <v>354</v>
      </c>
      <c r="B45" s="11" t="s">
        <v>355</v>
      </c>
      <c r="C45" s="11" t="s">
        <v>356</v>
      </c>
      <c r="D45" s="21" t="s">
        <v>17</v>
      </c>
      <c r="E45" s="22" t="s">
        <v>359</v>
      </c>
      <c r="F45" s="11" t="s">
        <v>360</v>
      </c>
      <c r="G45" s="12" t="s">
        <v>27</v>
      </c>
      <c r="H45" s="23" t="s">
        <v>28</v>
      </c>
      <c r="I45" s="25">
        <v>6</v>
      </c>
      <c r="J45" s="21">
        <v>7</v>
      </c>
      <c r="K45" s="65" t="s">
        <v>361</v>
      </c>
      <c r="M45" s="4"/>
    </row>
    <row r="46" spans="1:13" ht="30" customHeight="1" x14ac:dyDescent="0.25">
      <c r="A46" s="20" t="s">
        <v>354</v>
      </c>
      <c r="B46" s="11" t="s">
        <v>355</v>
      </c>
      <c r="C46" s="11" t="s">
        <v>356</v>
      </c>
      <c r="D46" s="21" t="s">
        <v>17</v>
      </c>
      <c r="E46" s="22" t="s">
        <v>362</v>
      </c>
      <c r="F46" s="11" t="s">
        <v>363</v>
      </c>
      <c r="G46" s="12" t="s">
        <v>27</v>
      </c>
      <c r="H46" s="23" t="s">
        <v>31</v>
      </c>
      <c r="I46" s="25">
        <v>6</v>
      </c>
      <c r="J46" s="21">
        <v>8</v>
      </c>
      <c r="K46" s="65" t="s">
        <v>364</v>
      </c>
      <c r="M46" s="4"/>
    </row>
    <row r="47" spans="1:13" ht="30" customHeight="1" x14ac:dyDescent="0.25">
      <c r="A47" s="20" t="s">
        <v>365</v>
      </c>
      <c r="B47" s="11" t="s">
        <v>207</v>
      </c>
      <c r="C47" s="11" t="s">
        <v>366</v>
      </c>
      <c r="D47" s="21" t="s">
        <v>43</v>
      </c>
      <c r="E47" s="22" t="s">
        <v>367</v>
      </c>
      <c r="F47" s="11" t="s">
        <v>368</v>
      </c>
      <c r="G47" s="12" t="s">
        <v>112</v>
      </c>
      <c r="H47" s="23" t="s">
        <v>211</v>
      </c>
      <c r="I47" s="25">
        <v>2</v>
      </c>
      <c r="J47" s="21">
        <v>2</v>
      </c>
      <c r="K47" s="65" t="s">
        <v>369</v>
      </c>
      <c r="M47" s="4"/>
    </row>
    <row r="48" spans="1:13" ht="30" customHeight="1" x14ac:dyDescent="0.25">
      <c r="A48" s="20" t="s">
        <v>370</v>
      </c>
      <c r="B48" s="11" t="s">
        <v>207</v>
      </c>
      <c r="C48" s="11" t="s">
        <v>371</v>
      </c>
      <c r="D48" s="21" t="s">
        <v>43</v>
      </c>
      <c r="E48" s="22" t="s">
        <v>372</v>
      </c>
      <c r="F48" s="11" t="s">
        <v>373</v>
      </c>
      <c r="G48" s="12" t="s">
        <v>112</v>
      </c>
      <c r="H48" s="23" t="s">
        <v>211</v>
      </c>
      <c r="I48" s="25">
        <v>2</v>
      </c>
      <c r="J48" s="21">
        <v>3</v>
      </c>
      <c r="K48" s="65" t="s">
        <v>369</v>
      </c>
      <c r="M48" s="4"/>
    </row>
    <row r="49" spans="1:13" ht="30" customHeight="1" x14ac:dyDescent="0.25">
      <c r="A49" s="20" t="s">
        <v>374</v>
      </c>
      <c r="B49" s="11" t="s">
        <v>207</v>
      </c>
      <c r="C49" s="11" t="s">
        <v>375</v>
      </c>
      <c r="D49" s="21" t="s">
        <v>43</v>
      </c>
      <c r="E49" s="22" t="s">
        <v>376</v>
      </c>
      <c r="F49" s="11" t="s">
        <v>377</v>
      </c>
      <c r="G49" s="12" t="s">
        <v>112</v>
      </c>
      <c r="H49" s="23" t="s">
        <v>378</v>
      </c>
      <c r="I49" s="25">
        <v>3</v>
      </c>
      <c r="J49" s="21">
        <v>0</v>
      </c>
      <c r="K49" s="65" t="s">
        <v>369</v>
      </c>
      <c r="M49" s="4"/>
    </row>
    <row r="50" spans="1:13" ht="30" customHeight="1" x14ac:dyDescent="0.25">
      <c r="A50" s="20" t="s">
        <v>379</v>
      </c>
      <c r="B50" s="11" t="s">
        <v>207</v>
      </c>
      <c r="C50" s="11" t="s">
        <v>380</v>
      </c>
      <c r="D50" s="21" t="s">
        <v>43</v>
      </c>
      <c r="E50" s="22" t="s">
        <v>381</v>
      </c>
      <c r="F50" s="11" t="s">
        <v>382</v>
      </c>
      <c r="G50" s="12" t="s">
        <v>112</v>
      </c>
      <c r="H50" s="23" t="s">
        <v>378</v>
      </c>
      <c r="I50" s="25">
        <v>3</v>
      </c>
      <c r="J50" s="21">
        <v>1</v>
      </c>
      <c r="K50" s="65" t="s">
        <v>369</v>
      </c>
      <c r="M50" s="4"/>
    </row>
    <row r="51" spans="1:13" ht="30" customHeight="1" x14ac:dyDescent="0.25">
      <c r="A51" s="20" t="s">
        <v>383</v>
      </c>
      <c r="B51" s="11" t="s">
        <v>207</v>
      </c>
      <c r="C51" s="11" t="s">
        <v>384</v>
      </c>
      <c r="D51" s="21" t="s">
        <v>43</v>
      </c>
      <c r="E51" s="22" t="s">
        <v>385</v>
      </c>
      <c r="F51" s="11" t="s">
        <v>386</v>
      </c>
      <c r="G51" s="12" t="s">
        <v>112</v>
      </c>
      <c r="H51" s="23" t="s">
        <v>211</v>
      </c>
      <c r="I51" s="25">
        <v>3</v>
      </c>
      <c r="J51" s="21">
        <v>2</v>
      </c>
      <c r="K51" s="65" t="s">
        <v>369</v>
      </c>
      <c r="M51" s="4"/>
    </row>
    <row r="52" spans="1:13" ht="30" customHeight="1" x14ac:dyDescent="0.25">
      <c r="A52" s="20" t="s">
        <v>387</v>
      </c>
      <c r="B52" s="11" t="s">
        <v>207</v>
      </c>
      <c r="C52" s="11" t="s">
        <v>388</v>
      </c>
      <c r="D52" s="21" t="s">
        <v>43</v>
      </c>
      <c r="E52" s="22" t="s">
        <v>389</v>
      </c>
      <c r="F52" s="11" t="s">
        <v>390</v>
      </c>
      <c r="G52" s="12" t="s">
        <v>112</v>
      </c>
      <c r="H52" s="23" t="s">
        <v>211</v>
      </c>
      <c r="I52" s="25">
        <v>3</v>
      </c>
      <c r="J52" s="21">
        <v>3</v>
      </c>
      <c r="K52" s="65" t="s">
        <v>369</v>
      </c>
      <c r="M52" s="4"/>
    </row>
    <row r="53" spans="1:13" s="10" customFormat="1" ht="30" customHeight="1" x14ac:dyDescent="0.25">
      <c r="A53" s="57" t="s">
        <v>391</v>
      </c>
      <c r="B53" s="58" t="s">
        <v>207</v>
      </c>
      <c r="C53" s="58" t="s">
        <v>392</v>
      </c>
      <c r="D53" s="59" t="s">
        <v>43</v>
      </c>
      <c r="E53" s="60" t="s">
        <v>393</v>
      </c>
      <c r="F53" s="58" t="s">
        <v>394</v>
      </c>
      <c r="G53" s="61" t="s">
        <v>112</v>
      </c>
      <c r="H53" s="62" t="s">
        <v>211</v>
      </c>
      <c r="I53" s="63">
        <v>3</v>
      </c>
      <c r="J53" s="59">
        <v>4</v>
      </c>
      <c r="K53" s="64" t="s">
        <v>395</v>
      </c>
    </row>
    <row r="54" spans="1:13" ht="30" customHeight="1" x14ac:dyDescent="0.25">
      <c r="A54" s="57" t="s">
        <v>396</v>
      </c>
      <c r="B54" s="58" t="s">
        <v>207</v>
      </c>
      <c r="C54" s="58" t="s">
        <v>397</v>
      </c>
      <c r="D54" s="59" t="s">
        <v>43</v>
      </c>
      <c r="E54" s="60" t="s">
        <v>398</v>
      </c>
      <c r="F54" s="58" t="s">
        <v>399</v>
      </c>
      <c r="G54" s="61" t="s">
        <v>112</v>
      </c>
      <c r="H54" s="62" t="s">
        <v>211</v>
      </c>
      <c r="I54" s="63">
        <v>3</v>
      </c>
      <c r="J54" s="59">
        <v>5</v>
      </c>
      <c r="K54" s="64" t="s">
        <v>395</v>
      </c>
      <c r="M54" s="4"/>
    </row>
    <row r="55" spans="1:13" ht="30" customHeight="1" x14ac:dyDescent="0.25">
      <c r="A55" s="57" t="s">
        <v>400</v>
      </c>
      <c r="B55" s="58" t="s">
        <v>207</v>
      </c>
      <c r="C55" s="58" t="s">
        <v>401</v>
      </c>
      <c r="D55" s="59" t="s">
        <v>43</v>
      </c>
      <c r="E55" s="60" t="s">
        <v>402</v>
      </c>
      <c r="F55" s="58" t="s">
        <v>403</v>
      </c>
      <c r="G55" s="61" t="s">
        <v>112</v>
      </c>
      <c r="H55" s="62" t="s">
        <v>211</v>
      </c>
      <c r="I55" s="63">
        <v>3</v>
      </c>
      <c r="J55" s="59">
        <v>6</v>
      </c>
      <c r="K55" s="64" t="s">
        <v>395</v>
      </c>
      <c r="M55" s="4"/>
    </row>
    <row r="56" spans="1:13" ht="30" customHeight="1" x14ac:dyDescent="0.25">
      <c r="A56" s="57" t="s">
        <v>404</v>
      </c>
      <c r="B56" s="58" t="s">
        <v>207</v>
      </c>
      <c r="C56" s="58" t="s">
        <v>405</v>
      </c>
      <c r="D56" s="59" t="s">
        <v>43</v>
      </c>
      <c r="E56" s="60" t="s">
        <v>406</v>
      </c>
      <c r="F56" s="58" t="s">
        <v>407</v>
      </c>
      <c r="G56" s="61" t="s">
        <v>112</v>
      </c>
      <c r="H56" s="62" t="s">
        <v>211</v>
      </c>
      <c r="I56" s="63">
        <v>3</v>
      </c>
      <c r="J56" s="59">
        <v>7</v>
      </c>
      <c r="K56" s="64" t="s">
        <v>395</v>
      </c>
      <c r="M56" s="4"/>
    </row>
    <row r="57" spans="1:13" ht="30" customHeight="1" x14ac:dyDescent="0.25">
      <c r="A57" s="20" t="s">
        <v>408</v>
      </c>
      <c r="B57" s="11" t="s">
        <v>15</v>
      </c>
      <c r="C57" s="11" t="s">
        <v>409</v>
      </c>
      <c r="D57" s="21" t="s">
        <v>17</v>
      </c>
      <c r="E57" s="22" t="s">
        <v>410</v>
      </c>
      <c r="F57" s="11" t="s">
        <v>411</v>
      </c>
      <c r="G57" s="12" t="s">
        <v>20</v>
      </c>
      <c r="H57" s="23" t="s">
        <v>17</v>
      </c>
      <c r="I57" s="25">
        <v>8</v>
      </c>
      <c r="J57" s="21">
        <v>5</v>
      </c>
      <c r="K57" s="87" t="s">
        <v>257</v>
      </c>
      <c r="M57" s="4"/>
    </row>
    <row r="58" spans="1:13" ht="30" customHeight="1" x14ac:dyDescent="0.25">
      <c r="A58" s="20" t="s">
        <v>408</v>
      </c>
      <c r="B58" s="11" t="s">
        <v>15</v>
      </c>
      <c r="C58" s="11" t="s">
        <v>409</v>
      </c>
      <c r="D58" s="21" t="s">
        <v>17</v>
      </c>
      <c r="E58" s="22" t="s">
        <v>412</v>
      </c>
      <c r="F58" s="11" t="s">
        <v>413</v>
      </c>
      <c r="G58" s="12" t="s">
        <v>112</v>
      </c>
      <c r="H58" s="23" t="s">
        <v>414</v>
      </c>
      <c r="I58" s="25">
        <v>1</v>
      </c>
      <c r="J58" s="21">
        <v>1</v>
      </c>
      <c r="K58" s="87" t="s">
        <v>415</v>
      </c>
      <c r="M58" s="4"/>
    </row>
    <row r="59" spans="1:13" ht="30" customHeight="1" x14ac:dyDescent="0.25">
      <c r="A59" s="20" t="s">
        <v>408</v>
      </c>
      <c r="B59" s="11" t="s">
        <v>15</v>
      </c>
      <c r="C59" s="11" t="s">
        <v>409</v>
      </c>
      <c r="D59" s="21" t="s">
        <v>17</v>
      </c>
      <c r="E59" s="22" t="s">
        <v>416</v>
      </c>
      <c r="F59" s="11" t="s">
        <v>417</v>
      </c>
      <c r="G59" s="12" t="s">
        <v>24</v>
      </c>
      <c r="H59" s="23" t="s">
        <v>17</v>
      </c>
      <c r="I59" s="25">
        <v>5</v>
      </c>
      <c r="J59" s="21">
        <v>1</v>
      </c>
      <c r="K59" s="69" t="s">
        <v>297</v>
      </c>
    </row>
    <row r="60" spans="1:13" ht="30" customHeight="1" x14ac:dyDescent="0.25">
      <c r="A60" s="82" t="s">
        <v>408</v>
      </c>
      <c r="B60" s="83" t="s">
        <v>15</v>
      </c>
      <c r="C60" s="83" t="s">
        <v>409</v>
      </c>
      <c r="D60" s="84" t="s">
        <v>17</v>
      </c>
      <c r="E60" s="82" t="s">
        <v>418</v>
      </c>
      <c r="F60" s="83" t="s">
        <v>419</v>
      </c>
      <c r="G60" s="85" t="s">
        <v>27</v>
      </c>
      <c r="H60" s="84" t="s">
        <v>28</v>
      </c>
      <c r="I60" s="86">
        <v>7</v>
      </c>
      <c r="J60" s="84">
        <v>0</v>
      </c>
      <c r="K60" s="87" t="s">
        <v>420</v>
      </c>
    </row>
    <row r="61" spans="1:13" ht="30" customHeight="1" x14ac:dyDescent="0.25">
      <c r="A61" s="20" t="s">
        <v>408</v>
      </c>
      <c r="B61" s="11" t="s">
        <v>15</v>
      </c>
      <c r="C61" s="11" t="s">
        <v>409</v>
      </c>
      <c r="D61" s="21" t="s">
        <v>17</v>
      </c>
      <c r="E61" s="22" t="s">
        <v>421</v>
      </c>
      <c r="F61" s="11" t="s">
        <v>422</v>
      </c>
      <c r="G61" s="12" t="s">
        <v>27</v>
      </c>
      <c r="H61" s="23" t="s">
        <v>31</v>
      </c>
      <c r="I61" s="25">
        <v>7</v>
      </c>
      <c r="J61" s="21">
        <v>1</v>
      </c>
      <c r="K61" s="87" t="s">
        <v>423</v>
      </c>
    </row>
    <row r="62" spans="1:13" ht="27" customHeight="1" x14ac:dyDescent="0.25">
      <c r="A62" s="82" t="s">
        <v>408</v>
      </c>
      <c r="B62" s="83" t="s">
        <v>15</v>
      </c>
      <c r="C62" s="83" t="s">
        <v>409</v>
      </c>
      <c r="D62" s="84" t="s">
        <v>17</v>
      </c>
      <c r="E62" s="82" t="s">
        <v>424</v>
      </c>
      <c r="F62" s="83" t="s">
        <v>425</v>
      </c>
      <c r="G62" s="85" t="s">
        <v>27</v>
      </c>
      <c r="H62" s="84" t="s">
        <v>17</v>
      </c>
      <c r="I62" s="84">
        <v>7</v>
      </c>
      <c r="J62" s="84">
        <v>2</v>
      </c>
      <c r="K62" s="87" t="s">
        <v>426</v>
      </c>
    </row>
    <row r="63" spans="1:13" ht="30" customHeight="1" x14ac:dyDescent="0.25">
      <c r="A63" s="20" t="s">
        <v>427</v>
      </c>
      <c r="B63" s="11" t="s">
        <v>15</v>
      </c>
      <c r="C63" s="11" t="s">
        <v>428</v>
      </c>
      <c r="D63" s="21" t="s">
        <v>17</v>
      </c>
      <c r="E63" s="22" t="s">
        <v>429</v>
      </c>
      <c r="F63" s="11" t="s">
        <v>430</v>
      </c>
      <c r="G63" s="12" t="s">
        <v>20</v>
      </c>
      <c r="H63" s="23" t="s">
        <v>17</v>
      </c>
      <c r="I63" s="25">
        <v>8</v>
      </c>
      <c r="J63" s="21">
        <v>6</v>
      </c>
      <c r="K63" s="87" t="s">
        <v>257</v>
      </c>
    </row>
    <row r="64" spans="1:13" s="10" customFormat="1" ht="30" customHeight="1" x14ac:dyDescent="0.25">
      <c r="A64" s="20" t="s">
        <v>427</v>
      </c>
      <c r="B64" s="11" t="s">
        <v>15</v>
      </c>
      <c r="C64" s="11" t="s">
        <v>428</v>
      </c>
      <c r="D64" s="21" t="s">
        <v>17</v>
      </c>
      <c r="E64" s="22" t="s">
        <v>431</v>
      </c>
      <c r="F64" s="11" t="s">
        <v>432</v>
      </c>
      <c r="G64" s="12" t="s">
        <v>112</v>
      </c>
      <c r="H64" s="23" t="s">
        <v>433</v>
      </c>
      <c r="I64" s="25">
        <v>1</v>
      </c>
      <c r="J64" s="21">
        <v>2</v>
      </c>
      <c r="K64" s="87" t="s">
        <v>434</v>
      </c>
      <c r="M64" s="91"/>
    </row>
    <row r="65" spans="1:13" ht="30" customHeight="1" x14ac:dyDescent="0.25">
      <c r="A65" s="20" t="s">
        <v>427</v>
      </c>
      <c r="B65" s="11" t="s">
        <v>15</v>
      </c>
      <c r="C65" s="11" t="s">
        <v>428</v>
      </c>
      <c r="D65" s="21" t="s">
        <v>17</v>
      </c>
      <c r="E65" s="22" t="s">
        <v>435</v>
      </c>
      <c r="F65" s="11" t="s">
        <v>436</v>
      </c>
      <c r="G65" s="12" t="s">
        <v>24</v>
      </c>
      <c r="H65" s="23" t="s">
        <v>17</v>
      </c>
      <c r="I65" s="25">
        <v>5</v>
      </c>
      <c r="J65" s="21">
        <v>2</v>
      </c>
      <c r="K65" s="69" t="s">
        <v>297</v>
      </c>
    </row>
    <row r="66" spans="1:13" ht="30" customHeight="1" x14ac:dyDescent="0.25">
      <c r="A66" s="82" t="s">
        <v>427</v>
      </c>
      <c r="B66" s="83" t="s">
        <v>15</v>
      </c>
      <c r="C66" s="83" t="s">
        <v>428</v>
      </c>
      <c r="D66" s="84" t="s">
        <v>17</v>
      </c>
      <c r="E66" s="82" t="s">
        <v>437</v>
      </c>
      <c r="F66" s="83" t="s">
        <v>438</v>
      </c>
      <c r="G66" s="85" t="s">
        <v>27</v>
      </c>
      <c r="H66" s="84" t="s">
        <v>28</v>
      </c>
      <c r="I66" s="86">
        <v>7</v>
      </c>
      <c r="J66" s="84">
        <v>3</v>
      </c>
      <c r="K66" s="87" t="s">
        <v>420</v>
      </c>
    </row>
    <row r="67" spans="1:13" ht="30" customHeight="1" x14ac:dyDescent="0.25">
      <c r="A67" s="20" t="s">
        <v>427</v>
      </c>
      <c r="B67" s="11" t="s">
        <v>15</v>
      </c>
      <c r="C67" s="11" t="s">
        <v>428</v>
      </c>
      <c r="D67" s="21" t="s">
        <v>17</v>
      </c>
      <c r="E67" s="22" t="s">
        <v>439</v>
      </c>
      <c r="F67" s="11" t="s">
        <v>440</v>
      </c>
      <c r="G67" s="12" t="s">
        <v>27</v>
      </c>
      <c r="H67" s="23" t="s">
        <v>31</v>
      </c>
      <c r="I67" s="25">
        <v>7</v>
      </c>
      <c r="J67" s="21">
        <v>4</v>
      </c>
      <c r="K67" s="87" t="s">
        <v>423</v>
      </c>
    </row>
    <row r="68" spans="1:13" ht="33.6" customHeight="1" x14ac:dyDescent="0.25">
      <c r="A68" s="82" t="s">
        <v>427</v>
      </c>
      <c r="B68" s="83" t="s">
        <v>15</v>
      </c>
      <c r="C68" s="83" t="s">
        <v>428</v>
      </c>
      <c r="D68" s="84" t="s">
        <v>17</v>
      </c>
      <c r="E68" s="82" t="s">
        <v>441</v>
      </c>
      <c r="F68" s="83" t="s">
        <v>442</v>
      </c>
      <c r="G68" s="85" t="s">
        <v>27</v>
      </c>
      <c r="H68" s="84" t="s">
        <v>17</v>
      </c>
      <c r="I68" s="84">
        <v>7</v>
      </c>
      <c r="J68" s="84">
        <v>5</v>
      </c>
      <c r="K68" s="87" t="s">
        <v>426</v>
      </c>
    </row>
    <row r="69" spans="1:13" ht="30" customHeight="1" x14ac:dyDescent="0.25">
      <c r="A69" s="20" t="s">
        <v>443</v>
      </c>
      <c r="B69" s="11" t="s">
        <v>444</v>
      </c>
      <c r="C69" s="11" t="s">
        <v>445</v>
      </c>
      <c r="D69" s="21" t="s">
        <v>43</v>
      </c>
      <c r="E69" s="22" t="s">
        <v>446</v>
      </c>
      <c r="F69" s="11" t="s">
        <v>447</v>
      </c>
      <c r="G69" s="12" t="s">
        <v>112</v>
      </c>
      <c r="H69" s="23" t="s">
        <v>448</v>
      </c>
      <c r="I69" s="25">
        <v>2</v>
      </c>
      <c r="J69" s="21">
        <v>0</v>
      </c>
      <c r="K69" s="28" t="s">
        <v>369</v>
      </c>
    </row>
    <row r="70" spans="1:13" ht="30" customHeight="1" x14ac:dyDescent="0.25">
      <c r="A70" s="20" t="s">
        <v>449</v>
      </c>
      <c r="B70" s="11" t="s">
        <v>444</v>
      </c>
      <c r="C70" s="11" t="s">
        <v>450</v>
      </c>
      <c r="D70" s="21" t="s">
        <v>43</v>
      </c>
      <c r="E70" s="22" t="s">
        <v>451</v>
      </c>
      <c r="F70" s="11" t="s">
        <v>452</v>
      </c>
      <c r="G70" s="12" t="s">
        <v>112</v>
      </c>
      <c r="H70" s="23" t="s">
        <v>448</v>
      </c>
      <c r="I70" s="25">
        <v>2</v>
      </c>
      <c r="J70" s="21">
        <v>1</v>
      </c>
      <c r="K70" s="28" t="s">
        <v>369</v>
      </c>
    </row>
    <row r="71" spans="1:13" ht="30" customHeight="1" x14ac:dyDescent="0.25">
      <c r="A71" s="82" t="s">
        <v>453</v>
      </c>
      <c r="B71" s="83" t="s">
        <v>444</v>
      </c>
      <c r="C71" s="83" t="s">
        <v>454</v>
      </c>
      <c r="D71" s="84" t="s">
        <v>43</v>
      </c>
      <c r="E71" s="82" t="s">
        <v>455</v>
      </c>
      <c r="F71" s="83" t="s">
        <v>456</v>
      </c>
      <c r="G71" s="85" t="s">
        <v>112</v>
      </c>
      <c r="H71" s="84" t="s">
        <v>113</v>
      </c>
      <c r="I71" s="86">
        <v>2</v>
      </c>
      <c r="J71" s="84">
        <v>4</v>
      </c>
      <c r="K71" s="87" t="s">
        <v>369</v>
      </c>
      <c r="M71" s="4"/>
    </row>
    <row r="72" spans="1:13" ht="30" customHeight="1" x14ac:dyDescent="0.25">
      <c r="A72" s="82" t="s">
        <v>457</v>
      </c>
      <c r="B72" s="83" t="s">
        <v>444</v>
      </c>
      <c r="C72" s="83" t="s">
        <v>458</v>
      </c>
      <c r="D72" s="84" t="s">
        <v>43</v>
      </c>
      <c r="E72" s="82" t="s">
        <v>459</v>
      </c>
      <c r="F72" s="83" t="s">
        <v>460</v>
      </c>
      <c r="G72" s="85" t="s">
        <v>112</v>
      </c>
      <c r="H72" s="84" t="s">
        <v>113</v>
      </c>
      <c r="I72" s="86">
        <v>2</v>
      </c>
      <c r="J72" s="84">
        <v>5</v>
      </c>
      <c r="K72" s="87" t="s">
        <v>369</v>
      </c>
      <c r="M72" s="4"/>
    </row>
    <row r="73" spans="1:13" ht="30" customHeight="1" x14ac:dyDescent="0.25">
      <c r="A73" s="20" t="s">
        <v>461</v>
      </c>
      <c r="B73" s="11" t="s">
        <v>462</v>
      </c>
      <c r="C73" s="11" t="s">
        <v>463</v>
      </c>
      <c r="D73" s="21" t="s">
        <v>17</v>
      </c>
      <c r="E73" s="22" t="s">
        <v>464</v>
      </c>
      <c r="F73" s="11" t="s">
        <v>465</v>
      </c>
      <c r="G73" s="12" t="s">
        <v>112</v>
      </c>
      <c r="H73" s="23" t="s">
        <v>211</v>
      </c>
      <c r="I73" s="25">
        <v>1</v>
      </c>
      <c r="J73" s="21">
        <v>5</v>
      </c>
      <c r="K73" s="28" t="s">
        <v>466</v>
      </c>
      <c r="M73" s="4"/>
    </row>
    <row r="74" spans="1:13" ht="30" customHeight="1" thickBot="1" x14ac:dyDescent="0.3">
      <c r="A74" s="74" t="s">
        <v>467</v>
      </c>
      <c r="B74" s="75" t="s">
        <v>462</v>
      </c>
      <c r="C74" s="75" t="s">
        <v>468</v>
      </c>
      <c r="D74" s="76" t="s">
        <v>17</v>
      </c>
      <c r="E74" s="77" t="s">
        <v>469</v>
      </c>
      <c r="F74" s="75" t="s">
        <v>470</v>
      </c>
      <c r="G74" s="78" t="s">
        <v>112</v>
      </c>
      <c r="H74" s="79" t="s">
        <v>211</v>
      </c>
      <c r="I74" s="80">
        <v>1</v>
      </c>
      <c r="J74" s="76">
        <v>6</v>
      </c>
      <c r="K74" s="81" t="s">
        <v>471</v>
      </c>
      <c r="M74" s="4"/>
    </row>
  </sheetData>
  <autoFilter ref="A2:K74" xr:uid="{415D12E5-8383-4DC7-941C-C7E1CD01A534}">
    <sortState xmlns:xlrd2="http://schemas.microsoft.com/office/spreadsheetml/2017/richdata2" ref="A3:K74">
      <sortCondition ref="A2:A74"/>
    </sortState>
  </autoFilter>
  <mergeCells count="1">
    <mergeCell ref="I1:J1"/>
  </mergeCells>
  <dataValidations xWindow="696" yWindow="921" count="1">
    <dataValidation allowBlank="1" showInputMessage="1" showErrorMessage="1" promptTitle="DougSparks Note:" prompt="Changed all &quot;.&quot; to &quot;_&quot; in PLC alias" sqref="E17:E51 E12:E15 E4:E10" xr:uid="{3F6F5412-8C8C-47DB-987B-C95D29DAF678}"/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9C86-0910-48FF-8046-6BB0481EFE66}">
  <dimension ref="A1:K14"/>
  <sheetViews>
    <sheetView zoomScale="85" zoomScaleNormal="85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defaultColWidth="9.140625" defaultRowHeight="15" x14ac:dyDescent="0.25"/>
  <cols>
    <col min="1" max="1" width="18.140625" style="1" customWidth="1"/>
    <col min="2" max="2" width="34.140625" style="1" bestFit="1" customWidth="1"/>
    <col min="3" max="3" width="38.28515625" style="9" bestFit="1" customWidth="1"/>
    <col min="4" max="4" width="27.140625" style="7" bestFit="1" customWidth="1"/>
    <col min="5" max="5" width="28.42578125" style="1" customWidth="1"/>
    <col min="6" max="6" width="40.7109375" style="1" customWidth="1"/>
    <col min="7" max="7" width="17.28515625" style="7" bestFit="1" customWidth="1"/>
    <col min="8" max="8" width="15.28515625" style="7" bestFit="1" customWidth="1"/>
    <col min="9" max="9" width="17" style="7" customWidth="1"/>
    <col min="10" max="10" width="15.42578125" style="7" customWidth="1"/>
    <col min="11" max="11" width="64.85546875" style="1" customWidth="1"/>
    <col min="12" max="13" width="9.140625" style="4"/>
    <col min="14" max="14" width="19" style="4" customWidth="1"/>
    <col min="15" max="15" width="26" style="4" customWidth="1"/>
    <col min="16" max="16" width="17.28515625" style="4" customWidth="1"/>
    <col min="17" max="17" width="21.28515625" style="4" customWidth="1"/>
    <col min="18" max="18" width="24.7109375" style="4" customWidth="1"/>
    <col min="19" max="16384" width="9.140625" style="4"/>
  </cols>
  <sheetData>
    <row r="1" spans="1:11" ht="34.9" customHeight="1" thickBot="1" x14ac:dyDescent="0.3">
      <c r="A1" s="66" t="s">
        <v>0</v>
      </c>
      <c r="B1" s="67"/>
      <c r="C1" s="67"/>
      <c r="D1" s="68"/>
      <c r="E1" s="66" t="s">
        <v>1</v>
      </c>
      <c r="F1" s="67"/>
      <c r="G1" s="67"/>
      <c r="H1" s="68"/>
      <c r="I1" s="102" t="s">
        <v>2</v>
      </c>
      <c r="J1" s="103"/>
      <c r="K1" s="48"/>
    </row>
    <row r="2" spans="1:11" ht="36.75" thickBot="1" x14ac:dyDescent="0.3">
      <c r="A2" s="43" t="s">
        <v>3</v>
      </c>
      <c r="B2" s="43" t="s">
        <v>4</v>
      </c>
      <c r="C2" s="43" t="s">
        <v>5</v>
      </c>
      <c r="D2" s="44" t="s">
        <v>6</v>
      </c>
      <c r="E2" s="43" t="s">
        <v>7</v>
      </c>
      <c r="F2" s="43" t="s">
        <v>8</v>
      </c>
      <c r="G2" s="44" t="s">
        <v>9</v>
      </c>
      <c r="H2" s="44" t="s">
        <v>10</v>
      </c>
      <c r="I2" s="44" t="s">
        <v>11</v>
      </c>
      <c r="J2" s="45" t="s">
        <v>12</v>
      </c>
      <c r="K2" s="43" t="s">
        <v>13</v>
      </c>
    </row>
    <row r="3" spans="1:11" ht="28.5" customHeight="1" x14ac:dyDescent="0.25">
      <c r="A3" s="30" t="s">
        <v>472</v>
      </c>
      <c r="B3" s="31" t="s">
        <v>473</v>
      </c>
      <c r="C3" s="31" t="s">
        <v>215</v>
      </c>
      <c r="D3" s="32" t="s">
        <v>17</v>
      </c>
      <c r="E3" s="30" t="s">
        <v>474</v>
      </c>
      <c r="F3" s="31" t="s">
        <v>217</v>
      </c>
      <c r="G3" s="33" t="s">
        <v>27</v>
      </c>
      <c r="H3" s="32" t="s">
        <v>31</v>
      </c>
      <c r="I3" s="34">
        <v>4</v>
      </c>
      <c r="J3" s="32">
        <v>0</v>
      </c>
      <c r="K3" s="49" t="s">
        <v>218</v>
      </c>
    </row>
    <row r="4" spans="1:11" ht="30" x14ac:dyDescent="0.25">
      <c r="A4" s="18" t="s">
        <v>475</v>
      </c>
      <c r="B4" s="3" t="s">
        <v>476</v>
      </c>
      <c r="C4" s="3" t="s">
        <v>477</v>
      </c>
      <c r="D4" s="19" t="s">
        <v>43</v>
      </c>
      <c r="E4" s="18" t="s">
        <v>478</v>
      </c>
      <c r="F4" s="3" t="s">
        <v>479</v>
      </c>
      <c r="G4" s="6" t="s">
        <v>24</v>
      </c>
      <c r="H4" s="19" t="s">
        <v>17</v>
      </c>
      <c r="I4" s="24">
        <v>3</v>
      </c>
      <c r="J4" s="19">
        <v>0</v>
      </c>
      <c r="K4" s="50" t="s">
        <v>83</v>
      </c>
    </row>
    <row r="5" spans="1:11" ht="30" x14ac:dyDescent="0.25">
      <c r="A5" s="18" t="s">
        <v>475</v>
      </c>
      <c r="B5" s="3" t="s">
        <v>476</v>
      </c>
      <c r="C5" s="3" t="s">
        <v>477</v>
      </c>
      <c r="D5" s="19" t="s">
        <v>43</v>
      </c>
      <c r="E5" s="18" t="s">
        <v>480</v>
      </c>
      <c r="F5" s="3" t="s">
        <v>481</v>
      </c>
      <c r="G5" s="6" t="s">
        <v>27</v>
      </c>
      <c r="H5" s="19" t="s">
        <v>49</v>
      </c>
      <c r="I5" s="24">
        <v>4</v>
      </c>
      <c r="J5" s="19">
        <v>1</v>
      </c>
      <c r="K5" s="50" t="s">
        <v>83</v>
      </c>
    </row>
    <row r="6" spans="1:11" ht="53.25" customHeight="1" x14ac:dyDescent="0.25">
      <c r="A6" s="18" t="s">
        <v>475</v>
      </c>
      <c r="B6" s="3" t="s">
        <v>476</v>
      </c>
      <c r="C6" s="3" t="s">
        <v>477</v>
      </c>
      <c r="D6" s="19" t="s">
        <v>43</v>
      </c>
      <c r="E6" s="18" t="s">
        <v>482</v>
      </c>
      <c r="F6" s="3" t="s">
        <v>483</v>
      </c>
      <c r="G6" s="6" t="s">
        <v>27</v>
      </c>
      <c r="H6" s="19" t="s">
        <v>52</v>
      </c>
      <c r="I6" s="24">
        <v>4</v>
      </c>
      <c r="J6" s="19">
        <v>2</v>
      </c>
      <c r="K6" s="50" t="s">
        <v>83</v>
      </c>
    </row>
    <row r="7" spans="1:11" ht="60" x14ac:dyDescent="0.25">
      <c r="A7" s="18" t="s">
        <v>484</v>
      </c>
      <c r="B7" s="3" t="s">
        <v>108</v>
      </c>
      <c r="C7" s="3" t="s">
        <v>485</v>
      </c>
      <c r="D7" s="19" t="s">
        <v>17</v>
      </c>
      <c r="E7" s="18" t="s">
        <v>486</v>
      </c>
      <c r="F7" s="3" t="s">
        <v>487</v>
      </c>
      <c r="G7" s="6" t="s">
        <v>112</v>
      </c>
      <c r="H7" s="19" t="s">
        <v>113</v>
      </c>
      <c r="I7" s="24">
        <v>1</v>
      </c>
      <c r="J7" s="19">
        <v>0</v>
      </c>
      <c r="K7" s="50" t="s">
        <v>114</v>
      </c>
    </row>
    <row r="8" spans="1:11" ht="60" x14ac:dyDescent="0.25">
      <c r="A8" s="18" t="s">
        <v>488</v>
      </c>
      <c r="B8" s="3" t="s">
        <v>108</v>
      </c>
      <c r="C8" s="3" t="s">
        <v>489</v>
      </c>
      <c r="D8" s="19" t="s">
        <v>17</v>
      </c>
      <c r="E8" s="18" t="s">
        <v>490</v>
      </c>
      <c r="F8" s="3" t="s">
        <v>491</v>
      </c>
      <c r="G8" s="6" t="s">
        <v>112</v>
      </c>
      <c r="H8" s="19" t="s">
        <v>113</v>
      </c>
      <c r="I8" s="24">
        <v>1</v>
      </c>
      <c r="J8" s="19">
        <v>1</v>
      </c>
      <c r="K8" s="50" t="s">
        <v>127</v>
      </c>
    </row>
    <row r="9" spans="1:11" ht="60" x14ac:dyDescent="0.25">
      <c r="A9" s="18" t="s">
        <v>492</v>
      </c>
      <c r="B9" s="3" t="s">
        <v>160</v>
      </c>
      <c r="C9" s="3" t="s">
        <v>493</v>
      </c>
      <c r="D9" s="19" t="s">
        <v>17</v>
      </c>
      <c r="E9" s="18" t="s">
        <v>494</v>
      </c>
      <c r="F9" s="3" t="s">
        <v>495</v>
      </c>
      <c r="G9" s="6" t="s">
        <v>37</v>
      </c>
      <c r="H9" s="19" t="s">
        <v>113</v>
      </c>
      <c r="I9" s="24">
        <v>2</v>
      </c>
      <c r="J9" s="19">
        <v>0</v>
      </c>
      <c r="K9" s="50" t="s">
        <v>496</v>
      </c>
    </row>
    <row r="10" spans="1:11" ht="60" x14ac:dyDescent="0.25">
      <c r="A10" s="18" t="s">
        <v>492</v>
      </c>
      <c r="B10" s="3" t="s">
        <v>160</v>
      </c>
      <c r="C10" s="3" t="s">
        <v>493</v>
      </c>
      <c r="D10" s="19" t="s">
        <v>17</v>
      </c>
      <c r="E10" s="18" t="s">
        <v>497</v>
      </c>
      <c r="F10" s="3" t="s">
        <v>498</v>
      </c>
      <c r="G10" s="6" t="s">
        <v>157</v>
      </c>
      <c r="H10" s="19" t="s">
        <v>113</v>
      </c>
      <c r="I10" s="24">
        <v>2</v>
      </c>
      <c r="J10" s="19">
        <v>0</v>
      </c>
      <c r="K10" s="50" t="s">
        <v>496</v>
      </c>
    </row>
    <row r="11" spans="1:11" ht="60" x14ac:dyDescent="0.25">
      <c r="A11" s="18" t="s">
        <v>499</v>
      </c>
      <c r="B11" s="3" t="s">
        <v>160</v>
      </c>
      <c r="C11" s="3" t="s">
        <v>500</v>
      </c>
      <c r="D11" s="19" t="s">
        <v>17</v>
      </c>
      <c r="E11" s="18" t="s">
        <v>501</v>
      </c>
      <c r="F11" s="3" t="s">
        <v>502</v>
      </c>
      <c r="G11" s="6" t="s">
        <v>37</v>
      </c>
      <c r="H11" s="19" t="s">
        <v>113</v>
      </c>
      <c r="I11" s="24">
        <v>2</v>
      </c>
      <c r="J11" s="19">
        <v>1</v>
      </c>
      <c r="K11" s="50" t="s">
        <v>503</v>
      </c>
    </row>
    <row r="12" spans="1:11" ht="30" customHeight="1" x14ac:dyDescent="0.25">
      <c r="A12" s="18" t="s">
        <v>499</v>
      </c>
      <c r="B12" s="3" t="s">
        <v>160</v>
      </c>
      <c r="C12" s="3" t="s">
        <v>500</v>
      </c>
      <c r="D12" s="19" t="s">
        <v>17</v>
      </c>
      <c r="E12" s="18" t="s">
        <v>504</v>
      </c>
      <c r="F12" s="3" t="s">
        <v>505</v>
      </c>
      <c r="G12" s="6" t="s">
        <v>157</v>
      </c>
      <c r="H12" s="19" t="s">
        <v>113</v>
      </c>
      <c r="I12" s="24">
        <v>2</v>
      </c>
      <c r="J12" s="19">
        <v>1</v>
      </c>
      <c r="K12" s="50" t="s">
        <v>506</v>
      </c>
    </row>
    <row r="13" spans="1:11" ht="30" x14ac:dyDescent="0.25">
      <c r="A13" s="20" t="s">
        <v>507</v>
      </c>
      <c r="B13" s="11" t="s">
        <v>207</v>
      </c>
      <c r="C13" s="11" t="s">
        <v>508</v>
      </c>
      <c r="D13" s="21" t="s">
        <v>43</v>
      </c>
      <c r="E13" s="22" t="s">
        <v>509</v>
      </c>
      <c r="F13" s="11" t="s">
        <v>210</v>
      </c>
      <c r="G13" s="12" t="s">
        <v>112</v>
      </c>
      <c r="H13" s="23" t="s">
        <v>211</v>
      </c>
      <c r="I13" s="25">
        <v>1</v>
      </c>
      <c r="J13" s="21">
        <v>3</v>
      </c>
      <c r="K13" s="51" t="s">
        <v>395</v>
      </c>
    </row>
    <row r="14" spans="1:11" ht="60" x14ac:dyDescent="0.25">
      <c r="A14" s="40" t="s">
        <v>510</v>
      </c>
      <c r="B14" s="41" t="s">
        <v>444</v>
      </c>
      <c r="C14" s="41" t="s">
        <v>511</v>
      </c>
      <c r="D14" s="42" t="s">
        <v>17</v>
      </c>
      <c r="E14" s="40" t="s">
        <v>512</v>
      </c>
      <c r="F14" s="41" t="s">
        <v>513</v>
      </c>
      <c r="G14" s="46" t="s">
        <v>112</v>
      </c>
      <c r="H14" s="42" t="s">
        <v>113</v>
      </c>
      <c r="I14" s="47">
        <v>1</v>
      </c>
      <c r="J14" s="42">
        <v>2</v>
      </c>
      <c r="K14" s="52" t="s">
        <v>514</v>
      </c>
    </row>
  </sheetData>
  <autoFilter ref="A2:K14" xr:uid="{726D9C86-0910-48FF-8046-6BB0481EFE66}">
    <sortState xmlns:xlrd2="http://schemas.microsoft.com/office/spreadsheetml/2017/richdata2" ref="A3:K14">
      <sortCondition ref="A2:A14"/>
    </sortState>
  </autoFilter>
  <mergeCells count="1">
    <mergeCell ref="I1:J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45C4-11DF-4AD1-8F7D-71390FC8A1D0}">
  <sheetPr filterMode="1"/>
  <dimension ref="A1:E16"/>
  <sheetViews>
    <sheetView workbookViewId="0">
      <selection activeCell="C7" sqref="C7"/>
    </sheetView>
  </sheetViews>
  <sheetFormatPr defaultRowHeight="15" x14ac:dyDescent="0.25"/>
  <cols>
    <col min="1" max="1" width="18.28515625" style="13" customWidth="1"/>
    <col min="2" max="2" width="19.85546875" style="13" customWidth="1"/>
    <col min="3" max="3" width="24.7109375" customWidth="1"/>
    <col min="4" max="4" width="31.140625" style="14" customWidth="1"/>
    <col min="5" max="5" width="17.7109375" style="14" customWidth="1"/>
  </cols>
  <sheetData>
    <row r="1" spans="1:5" s="4" customFormat="1" ht="19.899999999999999" customHeight="1" x14ac:dyDescent="0.25">
      <c r="A1" s="16" t="s">
        <v>515</v>
      </c>
      <c r="B1" s="16" t="s">
        <v>9</v>
      </c>
      <c r="C1" s="15" t="s">
        <v>516</v>
      </c>
      <c r="D1" s="15" t="s">
        <v>517</v>
      </c>
      <c r="E1" s="15" t="s">
        <v>518</v>
      </c>
    </row>
    <row r="2" spans="1:5" ht="19.899999999999999" hidden="1" customHeight="1" x14ac:dyDescent="0.25">
      <c r="A2" s="3" t="s">
        <v>519</v>
      </c>
      <c r="B2" s="3" t="s">
        <v>112</v>
      </c>
      <c r="C2" s="6">
        <f>COUNTIFS('BOP-PLC-CP'!G:G,B2,'BOP-PLC-CP'!D:D,"YES")</f>
        <v>0</v>
      </c>
      <c r="D2" s="6">
        <f>COUNTIFS('BOP-PLC-CP'!G:G,B2,'BOP-PLC-CP'!D:D,"NO")</f>
        <v>7</v>
      </c>
      <c r="E2" s="6">
        <f>SUM(C2,D2)</f>
        <v>7</v>
      </c>
    </row>
    <row r="3" spans="1:5" ht="19.899999999999999" hidden="1" customHeight="1" x14ac:dyDescent="0.25">
      <c r="A3" s="3" t="s">
        <v>519</v>
      </c>
      <c r="B3" s="3" t="s">
        <v>37</v>
      </c>
      <c r="C3" s="6">
        <f>COUNTIFS('BOP-PLC-CP'!G:G,B3,'BOP-PLC-CP'!D:D,"YES")</f>
        <v>0</v>
      </c>
      <c r="D3" s="6">
        <f>COUNTIFS('BOP-PLC-CP'!G:G,B3,'BOP-PLC-CP'!D:D,"NO")</f>
        <v>7</v>
      </c>
      <c r="E3" s="6">
        <f t="shared" ref="E3:E16" si="0">SUM(C3,D3)</f>
        <v>7</v>
      </c>
    </row>
    <row r="4" spans="1:5" ht="19.899999999999999" hidden="1" customHeight="1" x14ac:dyDescent="0.25">
      <c r="A4" s="3" t="s">
        <v>519</v>
      </c>
      <c r="B4" s="3" t="s">
        <v>24</v>
      </c>
      <c r="C4" s="6">
        <f>COUNTIFS('BOP-PLC-CP'!G:G,B4,'BOP-PLC-CP'!D:D,"YES")</f>
        <v>8</v>
      </c>
      <c r="D4" s="6">
        <f>COUNTIFS('BOP-PLC-CP'!G:G,B4,'BOP-PLC-CP'!D:D,"NO")</f>
        <v>1</v>
      </c>
      <c r="E4" s="6">
        <f t="shared" si="0"/>
        <v>9</v>
      </c>
    </row>
    <row r="5" spans="1:5" ht="19.899999999999999" hidden="1" customHeight="1" x14ac:dyDescent="0.25">
      <c r="A5" s="3" t="s">
        <v>519</v>
      </c>
      <c r="B5" s="3" t="s">
        <v>27</v>
      </c>
      <c r="C5" s="6">
        <f>COUNTIFS('BOP-PLC-CP'!G:G,B5,'BOP-PLC-CP'!D:D,"YES")</f>
        <v>16</v>
      </c>
      <c r="D5" s="6">
        <f>COUNTIFS('BOP-PLC-CP'!G:G,B5,'BOP-PLC-CP'!D:D,"NO")</f>
        <v>7</v>
      </c>
      <c r="E5" s="6">
        <f t="shared" si="0"/>
        <v>23</v>
      </c>
    </row>
    <row r="6" spans="1:5" ht="19.899999999999999" hidden="1" customHeight="1" x14ac:dyDescent="0.25">
      <c r="A6" s="3" t="s">
        <v>519</v>
      </c>
      <c r="B6" s="3" t="s">
        <v>20</v>
      </c>
      <c r="C6" s="6">
        <f>COUNTIFS('BOP-PLC-CP'!G:G,B6,'BOP-PLC-CP'!D:D,"YES")</f>
        <v>0</v>
      </c>
      <c r="D6" s="6">
        <f>COUNTIFS('BOP-PLC-CP'!G:G,B6,'BOP-PLC-CP'!D:D,"NO")</f>
        <v>3</v>
      </c>
      <c r="E6" s="6">
        <f t="shared" si="0"/>
        <v>3</v>
      </c>
    </row>
    <row r="7" spans="1:5" ht="19.899999999999999" customHeight="1" x14ac:dyDescent="0.25">
      <c r="A7" s="3" t="s">
        <v>520</v>
      </c>
      <c r="B7" s="3" t="s">
        <v>112</v>
      </c>
      <c r="C7" s="6">
        <f>COUNTIFS('LGN-PLC-CP'!G:G,B7,'LGN-PLC-CP'!D:D,"YES")</f>
        <v>14</v>
      </c>
      <c r="D7" s="6">
        <f>COUNTIFS('LGN-PLC-CP'!G:G,B7,'LGN-PLC-CP'!D:D,"NO")</f>
        <v>8</v>
      </c>
      <c r="E7" s="6">
        <f t="shared" si="0"/>
        <v>22</v>
      </c>
    </row>
    <row r="8" spans="1:5" ht="19.899999999999999" customHeight="1" x14ac:dyDescent="0.25">
      <c r="A8" s="3" t="s">
        <v>520</v>
      </c>
      <c r="B8" s="3" t="s">
        <v>37</v>
      </c>
      <c r="C8" s="6">
        <f>COUNTIFS('LGN-PLC-CP'!G:G,B8,'LGN-PLC-CP'!D:D,"YES")</f>
        <v>0</v>
      </c>
      <c r="D8" s="6">
        <f>COUNTIFS('LGN-PLC-CP'!G:G,B8,'LGN-PLC-CP'!D:D,"NO")</f>
        <v>0</v>
      </c>
      <c r="E8" s="6">
        <f t="shared" si="0"/>
        <v>0</v>
      </c>
    </row>
    <row r="9" spans="1:5" ht="19.899999999999999" customHeight="1" x14ac:dyDescent="0.25">
      <c r="A9" s="3" t="s">
        <v>520</v>
      </c>
      <c r="B9" s="3" t="s">
        <v>24</v>
      </c>
      <c r="C9" s="6">
        <f>COUNTIFS('LGN-PLC-CP'!G:G,B9,'LGN-PLC-CP'!D:D,"YES")</f>
        <v>0</v>
      </c>
      <c r="D9" s="6">
        <f>COUNTIFS('LGN-PLC-CP'!G:G,B9,'LGN-PLC-CP'!D:D,"NO")</f>
        <v>7</v>
      </c>
      <c r="E9" s="6">
        <f t="shared" si="0"/>
        <v>7</v>
      </c>
    </row>
    <row r="10" spans="1:5" ht="19.899999999999999" customHeight="1" x14ac:dyDescent="0.25">
      <c r="A10" s="3" t="s">
        <v>520</v>
      </c>
      <c r="B10" s="3" t="s">
        <v>27</v>
      </c>
      <c r="C10" s="6">
        <f>COUNTIFS('LGN-PLC-CP'!G:G,B10,'LGN-PLC-CP'!D:D,"YES")</f>
        <v>4</v>
      </c>
      <c r="D10" s="6">
        <f>COUNTIFS('LGN-PLC-CP'!G:G,B10,'LGN-PLC-CP'!D:D,"NO")</f>
        <v>26</v>
      </c>
      <c r="E10" s="6">
        <f t="shared" si="0"/>
        <v>30</v>
      </c>
    </row>
    <row r="11" spans="1:5" ht="19.899999999999999" customHeight="1" x14ac:dyDescent="0.25">
      <c r="A11" s="3" t="s">
        <v>520</v>
      </c>
      <c r="B11" s="3" t="s">
        <v>20</v>
      </c>
      <c r="C11" s="6">
        <f>COUNTIFS('LGN-PLC-CP'!G:G,B11,'LGN-PLC-CP'!D:D,"YES")</f>
        <v>4</v>
      </c>
      <c r="D11" s="6">
        <f>COUNTIFS('LGN-PLC-CP'!G:G,B11,'LGN-PLC-CP'!D:D,"NO")</f>
        <v>9</v>
      </c>
      <c r="E11" s="6">
        <f t="shared" si="0"/>
        <v>13</v>
      </c>
    </row>
    <row r="12" spans="1:5" ht="19.899999999999999" hidden="1" customHeight="1" x14ac:dyDescent="0.25">
      <c r="A12" s="3" t="s">
        <v>521</v>
      </c>
      <c r="B12" s="3" t="s">
        <v>112</v>
      </c>
      <c r="C12" s="6">
        <f>COUNTIFS('KCG-RIO-CP'!G:G,B12,'KCG-RIO-CP'!D:D,"YES")</f>
        <v>1</v>
      </c>
      <c r="D12" s="6">
        <f>COUNTIFS('KCG-RIO-CP'!G:G,B12,'KCG-RIO-CP'!D:D,"NO")</f>
        <v>3</v>
      </c>
      <c r="E12" s="6">
        <f t="shared" si="0"/>
        <v>4</v>
      </c>
    </row>
    <row r="13" spans="1:5" ht="19.899999999999999" hidden="1" customHeight="1" x14ac:dyDescent="0.25">
      <c r="A13" s="3" t="s">
        <v>521</v>
      </c>
      <c r="B13" s="3" t="s">
        <v>37</v>
      </c>
      <c r="C13" s="6">
        <f>COUNTIFS('KCG-RIO-CP'!G:G,B13,'KCG-RIO-CP'!D:D,"YES")</f>
        <v>0</v>
      </c>
      <c r="D13" s="6">
        <f>COUNTIFS('KCG-RIO-CP'!G:G,B13,'KCG-RIO-CP'!D:D,"NO")</f>
        <v>2</v>
      </c>
      <c r="E13" s="6">
        <f t="shared" si="0"/>
        <v>2</v>
      </c>
    </row>
    <row r="14" spans="1:5" ht="19.899999999999999" hidden="1" customHeight="1" x14ac:dyDescent="0.25">
      <c r="A14" s="3" t="s">
        <v>521</v>
      </c>
      <c r="B14" s="3" t="s">
        <v>24</v>
      </c>
      <c r="C14" s="6">
        <f>COUNTIFS('KCG-RIO-CP'!G:G,B14,'KCG-RIO-CP'!D:D,"YES")</f>
        <v>1</v>
      </c>
      <c r="D14" s="6">
        <f>COUNTIFS('KCG-RIO-CP'!G:G,B14,'KCG-RIO-CP'!D:D,"NO")</f>
        <v>0</v>
      </c>
      <c r="E14" s="6">
        <f t="shared" si="0"/>
        <v>1</v>
      </c>
    </row>
    <row r="15" spans="1:5" ht="19.899999999999999" hidden="1" customHeight="1" x14ac:dyDescent="0.25">
      <c r="A15" s="3" t="s">
        <v>521</v>
      </c>
      <c r="B15" s="3" t="s">
        <v>27</v>
      </c>
      <c r="C15" s="6">
        <f>COUNTIFS('KCG-RIO-CP'!G:G,B15,'KCG-RIO-CP'!D:D,"YES")</f>
        <v>2</v>
      </c>
      <c r="D15" s="6">
        <f>COUNTIFS('KCG-RIO-CP'!G:G,B15,'KCG-RIO-CP'!D:D,"NO")</f>
        <v>1</v>
      </c>
      <c r="E15" s="6">
        <f t="shared" si="0"/>
        <v>3</v>
      </c>
    </row>
    <row r="16" spans="1:5" ht="19.899999999999999" hidden="1" customHeight="1" x14ac:dyDescent="0.25">
      <c r="A16" s="3" t="s">
        <v>521</v>
      </c>
      <c r="B16" s="3" t="s">
        <v>20</v>
      </c>
      <c r="C16" s="6">
        <f>COUNTIFS('KCG-RIO-CP'!G:G,B16,'KCG-RIO-CP'!D:D,"YES")</f>
        <v>0</v>
      </c>
      <c r="D16" s="6">
        <f>COUNTIFS('KCG-RIO-CP'!G:G,B16,'KCG-RIO-CP'!D:D,"NO")</f>
        <v>0</v>
      </c>
      <c r="E16" s="6">
        <f t="shared" si="0"/>
        <v>0</v>
      </c>
    </row>
  </sheetData>
  <autoFilter ref="A1:E16" xr:uid="{895D45C4-11DF-4AD1-8F7D-71390FC8A1D0}">
    <filterColumn colId="0">
      <filters>
        <filter val="LGN-PLC-CP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2F58-F233-4894-98BD-AC479310AB34}">
  <dimension ref="A1:C28"/>
  <sheetViews>
    <sheetView workbookViewId="0">
      <selection activeCell="A9" sqref="A9"/>
    </sheetView>
  </sheetViews>
  <sheetFormatPr defaultColWidth="9.140625" defaultRowHeight="15" x14ac:dyDescent="0.25"/>
  <cols>
    <col min="1" max="1" width="11.42578125" style="54" customWidth="1"/>
    <col min="2" max="2" width="76.28515625" style="56" bestFit="1" customWidth="1"/>
    <col min="3" max="3" width="13.42578125" style="54" bestFit="1" customWidth="1"/>
    <col min="4" max="16384" width="9.140625" style="54"/>
  </cols>
  <sheetData>
    <row r="1" spans="1:3" x14ac:dyDescent="0.25">
      <c r="A1" s="53" t="s">
        <v>0</v>
      </c>
      <c r="B1" s="55" t="s">
        <v>522</v>
      </c>
      <c r="C1" s="53" t="s">
        <v>523</v>
      </c>
    </row>
    <row r="2" spans="1:3" ht="30" x14ac:dyDescent="0.25">
      <c r="A2" s="53" t="s">
        <v>524</v>
      </c>
      <c r="B2" s="55" t="s">
        <v>525</v>
      </c>
      <c r="C2" s="53"/>
    </row>
    <row r="3" spans="1:3" ht="90" x14ac:dyDescent="0.25">
      <c r="A3" s="53" t="s">
        <v>524</v>
      </c>
      <c r="B3" s="55" t="s">
        <v>526</v>
      </c>
      <c r="C3" s="53"/>
    </row>
    <row r="4" spans="1:3" ht="30" x14ac:dyDescent="0.25">
      <c r="A4" s="53" t="s">
        <v>524</v>
      </c>
      <c r="B4" s="55" t="s">
        <v>527</v>
      </c>
      <c r="C4" s="53"/>
    </row>
    <row r="5" spans="1:3" ht="30" x14ac:dyDescent="0.25">
      <c r="A5" s="53" t="s">
        <v>528</v>
      </c>
      <c r="B5" s="55" t="s">
        <v>529</v>
      </c>
      <c r="C5" s="53"/>
    </row>
    <row r="6" spans="1:3" ht="45" x14ac:dyDescent="0.25">
      <c r="A6" s="53" t="s">
        <v>528</v>
      </c>
      <c r="B6" s="55" t="s">
        <v>530</v>
      </c>
      <c r="C6" s="53"/>
    </row>
    <row r="7" spans="1:3" ht="30" x14ac:dyDescent="0.25">
      <c r="A7" s="53" t="s">
        <v>531</v>
      </c>
      <c r="B7" s="55" t="s">
        <v>532</v>
      </c>
      <c r="C7" s="53"/>
    </row>
    <row r="8" spans="1:3" ht="30" x14ac:dyDescent="0.25">
      <c r="A8" s="53" t="s">
        <v>533</v>
      </c>
      <c r="B8" s="55" t="s">
        <v>534</v>
      </c>
      <c r="C8" s="53"/>
    </row>
    <row r="9" spans="1:3" x14ac:dyDescent="0.25">
      <c r="A9" s="53" t="s">
        <v>535</v>
      </c>
      <c r="B9" s="55" t="s">
        <v>536</v>
      </c>
      <c r="C9" s="53"/>
    </row>
    <row r="10" spans="1:3" x14ac:dyDescent="0.25">
      <c r="A10" s="53"/>
      <c r="B10" s="55"/>
      <c r="C10" s="53"/>
    </row>
    <row r="11" spans="1:3" x14ac:dyDescent="0.25">
      <c r="A11" s="53"/>
      <c r="B11" s="55"/>
      <c r="C11" s="53"/>
    </row>
    <row r="12" spans="1:3" x14ac:dyDescent="0.25">
      <c r="A12" s="53"/>
      <c r="B12" s="55"/>
      <c r="C12" s="53"/>
    </row>
    <row r="13" spans="1:3" x14ac:dyDescent="0.25">
      <c r="A13" s="53"/>
      <c r="B13" s="55"/>
      <c r="C13" s="53"/>
    </row>
    <row r="14" spans="1:3" x14ac:dyDescent="0.25">
      <c r="A14" s="53"/>
      <c r="B14" s="55"/>
      <c r="C14" s="53"/>
    </row>
    <row r="15" spans="1:3" x14ac:dyDescent="0.25">
      <c r="A15" s="53"/>
      <c r="B15" s="55"/>
      <c r="C15" s="53"/>
    </row>
    <row r="16" spans="1:3" x14ac:dyDescent="0.25">
      <c r="A16" s="53"/>
      <c r="B16" s="55"/>
      <c r="C16" s="53"/>
    </row>
    <row r="17" spans="1:3" x14ac:dyDescent="0.25">
      <c r="A17" s="53"/>
      <c r="B17" s="55"/>
      <c r="C17" s="53"/>
    </row>
    <row r="18" spans="1:3" x14ac:dyDescent="0.25">
      <c r="A18" s="53"/>
      <c r="B18" s="55"/>
      <c r="C18" s="53"/>
    </row>
    <row r="19" spans="1:3" x14ac:dyDescent="0.25">
      <c r="A19" s="53"/>
      <c r="B19" s="55"/>
      <c r="C19" s="53"/>
    </row>
    <row r="20" spans="1:3" x14ac:dyDescent="0.25">
      <c r="A20" s="53"/>
      <c r="B20" s="55"/>
      <c r="C20" s="53"/>
    </row>
    <row r="21" spans="1:3" x14ac:dyDescent="0.25">
      <c r="A21" s="53"/>
      <c r="B21" s="55"/>
      <c r="C21" s="53"/>
    </row>
    <row r="22" spans="1:3" x14ac:dyDescent="0.25">
      <c r="A22" s="53"/>
      <c r="B22" s="55"/>
      <c r="C22" s="53"/>
    </row>
    <row r="23" spans="1:3" x14ac:dyDescent="0.25">
      <c r="A23" s="53"/>
      <c r="B23" s="55"/>
      <c r="C23" s="53"/>
    </row>
    <row r="24" spans="1:3" x14ac:dyDescent="0.25">
      <c r="A24" s="53"/>
      <c r="B24" s="55"/>
      <c r="C24" s="53"/>
    </row>
    <row r="25" spans="1:3" x14ac:dyDescent="0.25">
      <c r="A25" s="53"/>
      <c r="B25" s="55"/>
      <c r="C25" s="53"/>
    </row>
    <row r="26" spans="1:3" x14ac:dyDescent="0.25">
      <c r="A26" s="53"/>
      <c r="B26" s="55"/>
      <c r="C26" s="53"/>
    </row>
    <row r="27" spans="1:3" x14ac:dyDescent="0.25">
      <c r="A27" s="53"/>
      <c r="B27" s="55"/>
      <c r="C27" s="53"/>
    </row>
    <row r="28" spans="1:3" x14ac:dyDescent="0.25">
      <c r="A28" s="53"/>
      <c r="B28" s="55"/>
      <c r="C28" s="53"/>
    </row>
  </sheetData>
  <autoFilter ref="A1:C1" xr:uid="{68F02F58-F233-4894-98BD-AC479310AB3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25dd8a-8830-46b3-9513-6aaf10bf4bdd">
      <Terms xmlns="http://schemas.microsoft.com/office/infopath/2007/PartnerControls"/>
    </lcf76f155ced4ddcb4097134ff3c332f>
    <TaxCatchAll xmlns="32fcd785-4fd4-4c6f-9af6-9715f99295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018B227DB714D99CB7FFED8FEFD9A" ma:contentTypeVersion="13" ma:contentTypeDescription="Create a new document." ma:contentTypeScope="" ma:versionID="e60f972066149d8197b5b6d300501d34">
  <xsd:schema xmlns:xsd="http://www.w3.org/2001/XMLSchema" xmlns:xs="http://www.w3.org/2001/XMLSchema" xmlns:p="http://schemas.microsoft.com/office/2006/metadata/properties" xmlns:ns2="d325dd8a-8830-46b3-9513-6aaf10bf4bdd" xmlns:ns3="32fcd785-4fd4-4c6f-9af6-9715f9929599" targetNamespace="http://schemas.microsoft.com/office/2006/metadata/properties" ma:root="true" ma:fieldsID="5c3de74df3a24583edf31225557934b3" ns2:_="" ns3:_="">
    <xsd:import namespace="d325dd8a-8830-46b3-9513-6aaf10bf4bdd"/>
    <xsd:import namespace="32fcd785-4fd4-4c6f-9af6-9715f99295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5dd8a-8830-46b3-9513-6aaf10bf4b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5434de-620b-4632-a91a-6a8ccb06ed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cd785-4fd4-4c6f-9af6-9715f99295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787684-2ec7-4d09-8df3-181135fefbe5}" ma:internalName="TaxCatchAll" ma:showField="CatchAllData" ma:web="32fcd785-4fd4-4c6f-9af6-9715f99295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4EA8A4-2BCC-4E00-BC80-04FE114F6ED1}">
  <ds:schemaRefs>
    <ds:schemaRef ds:uri="http://schemas.microsoft.com/office/2006/metadata/properties"/>
    <ds:schemaRef ds:uri="http://schemas.microsoft.com/office/infopath/2007/PartnerControls"/>
    <ds:schemaRef ds:uri="d325dd8a-8830-46b3-9513-6aaf10bf4bdd"/>
    <ds:schemaRef ds:uri="32fcd785-4fd4-4c6f-9af6-9715f9929599"/>
  </ds:schemaRefs>
</ds:datastoreItem>
</file>

<file path=customXml/itemProps2.xml><?xml version="1.0" encoding="utf-8"?>
<ds:datastoreItem xmlns:ds="http://schemas.openxmlformats.org/officeDocument/2006/customXml" ds:itemID="{F22F4D3E-ADC7-4E76-B339-1901BC3733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44A574-A51F-4DCA-91D4-897D008E8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25dd8a-8830-46b3-9513-6aaf10bf4bdd"/>
    <ds:schemaRef ds:uri="32fcd785-4fd4-4c6f-9af6-9715f99295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BOP-PLC-CP</vt:lpstr>
      <vt:lpstr>LGN-PLC-CP</vt:lpstr>
      <vt:lpstr>KCG-RIO-CP</vt:lpstr>
      <vt:lpstr>IO COUNTS</vt:lpstr>
      <vt:lpstr>NOTES &amp; 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Hakam Benlashher</dc:creator>
  <cp:keywords/>
  <dc:description/>
  <cp:lastModifiedBy>Hakam Benlashher</cp:lastModifiedBy>
  <cp:revision/>
  <dcterms:created xsi:type="dcterms:W3CDTF">2026-04-10T20:21:04Z</dcterms:created>
  <dcterms:modified xsi:type="dcterms:W3CDTF">2026-08-26T00:08:10Z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553b91-73a5-4fc5-8bd7-5987e203bbae_Enabled">
    <vt:lpwstr>true</vt:lpwstr>
  </property>
  <property fmtid="{D5CDD505-2E9C-101B-9397-08002B2CF9AE}" pid="3" name="MSIP_Label_ab553b91-73a5-4fc5-8bd7-5987e203bbae_SetDate">
    <vt:lpwstr>2026-04-10T20:21:09Z</vt:lpwstr>
  </property>
  <property fmtid="{D5CDD505-2E9C-101B-9397-08002B2CF9AE}" pid="4" name="MSIP_Label_ab553b91-73a5-4fc5-8bd7-5987e203bbae_Method">
    <vt:lpwstr>Standard</vt:lpwstr>
  </property>
  <property fmtid="{D5CDD505-2E9C-101B-9397-08002B2CF9AE}" pid="5" name="MSIP_Label_ab553b91-73a5-4fc5-8bd7-5987e203bbae_Name">
    <vt:lpwstr>defa4170-0d19-0005-0004-bc88714345d2</vt:lpwstr>
  </property>
  <property fmtid="{D5CDD505-2E9C-101B-9397-08002B2CF9AE}" pid="6" name="MSIP_Label_ab553b91-73a5-4fc5-8bd7-5987e203bbae_SiteId">
    <vt:lpwstr>d32bf21d-9ffa-45de-bfb0-ae20e3831341</vt:lpwstr>
  </property>
  <property fmtid="{D5CDD505-2E9C-101B-9397-08002B2CF9AE}" pid="7" name="MSIP_Label_ab553b91-73a5-4fc5-8bd7-5987e203bbae_ActionId">
    <vt:lpwstr>f78f2ebd-0f18-478d-b707-97b45430e5c3</vt:lpwstr>
  </property>
  <property fmtid="{D5CDD505-2E9C-101B-9397-08002B2CF9AE}" pid="8" name="MSIP_Label_ab553b91-73a5-4fc5-8bd7-5987e203bbae_ContentBits">
    <vt:lpwstr>0</vt:lpwstr>
  </property>
  <property fmtid="{D5CDD505-2E9C-101B-9397-08002B2CF9AE}" pid="9" name="MSIP_Label_ab553b91-73a5-4fc5-8bd7-5987e203bba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0x010100C4D018B227DB714D99CB7FFED8FEFD9A</vt:lpwstr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